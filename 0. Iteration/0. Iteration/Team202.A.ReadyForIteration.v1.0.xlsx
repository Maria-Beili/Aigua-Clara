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Project Initiation" sheetId="2" r:id="rId5"/>
    <sheet state="visible" name="Iteration" sheetId="3" r:id="rId6"/>
    <sheet state="visible" name="Project Closure" sheetId="4" r:id="rId7"/>
  </sheets>
  <definedNames/>
  <calcPr/>
  <extLst>
    <ext uri="GoogleSheetsCustomDataVersion2">
      <go:sheetsCustomData xmlns:go="http://customooxmlschemas.google.com/" r:id="rId8" roundtripDataChecksum="J7IZzWBp2Wtg4E53QeZ8DLf+S8Cz+V9Ws6uG2RTGvlU="/>
    </ext>
  </extLst>
</workbook>
</file>

<file path=xl/sharedStrings.xml><?xml version="1.0" encoding="utf-8"?>
<sst xmlns="http://schemas.openxmlformats.org/spreadsheetml/2006/main" count="237" uniqueCount="137">
  <si>
    <t xml:space="preserve">         </t>
  </si>
  <si>
    <t xml:space="preserve">Phase-Exit Review </t>
  </si>
  <si>
    <t>Organisation / Department:</t>
  </si>
  <si>
    <t>UPF Gestió de projectes</t>
  </si>
  <si>
    <t>Project Name:</t>
  </si>
  <si>
    <t>Aigua Clara</t>
  </si>
  <si>
    <t>Project Owner:</t>
  </si>
  <si>
    <t>Aigües de Barcelona</t>
  </si>
  <si>
    <t>Project Core Team Number:</t>
  </si>
  <si>
    <t>T202.A</t>
  </si>
  <si>
    <t xml:space="preserve">Project Core Team members: </t>
  </si>
  <si>
    <t>Maria Beili Mena Dorado, Alex Fernández de Alarcon, Sergi Rodríguez, Pol Serrat, Ferran Sordé i Martí Vilaró</t>
  </si>
  <si>
    <t>Reviewer Name:</t>
  </si>
  <si>
    <t>Rebeca Calderón or Elisabet Duocastella</t>
  </si>
  <si>
    <t>Overall Compliance (%)</t>
  </si>
  <si>
    <t>Overall Phase-Exit Status:</t>
  </si>
  <si>
    <t>Area</t>
  </si>
  <si>
    <t>Phase-Exit Status</t>
  </si>
  <si>
    <t>% of Phase Compliance</t>
  </si>
  <si>
    <t>Date</t>
  </si>
  <si>
    <t>Already performed?</t>
  </si>
  <si>
    <t xml:space="preserve"> </t>
  </si>
  <si>
    <t>Project Initiation</t>
  </si>
  <si>
    <t>Iteration</t>
  </si>
  <si>
    <t>Project Closure</t>
  </si>
  <si>
    <t>Assessment Key:</t>
  </si>
  <si>
    <t>Major key activities for the phase(s) weren't performed (50% of the key activities or more are still to be completed).</t>
  </si>
  <si>
    <t>Some key activities are still to be completed before the phase(s) can be closed (% of compliance between 51% and 80%).</t>
  </si>
  <si>
    <t>Nearly all the key activities for the phase(s) are complete (more than 80% of the key activities). The decision to move to another phase should be taken considering the relevance / adequacy of the remaining activities to the project and its specificities.</t>
  </si>
  <si>
    <t>Yes</t>
  </si>
  <si>
    <t>No</t>
  </si>
  <si>
    <t>Project Initiation Phase-Exit Checks</t>
  </si>
  <si>
    <t>Date:</t>
  </si>
  <si>
    <t>#</t>
  </si>
  <si>
    <t>Description</t>
  </si>
  <si>
    <t>Answer</t>
  </si>
  <si>
    <t>Score</t>
  </si>
  <si>
    <t>Comments</t>
  </si>
  <si>
    <t xml:space="preserve">Has a Project Initiation Request been documented and approved? </t>
  </si>
  <si>
    <t>Yes, Partially</t>
  </si>
  <si>
    <t>Està documentat, però no aprovat per SP i PSC</t>
  </si>
  <si>
    <t>Are the project context, scope, deliverables and expected outcomes documented?</t>
  </si>
  <si>
    <t xml:space="preserve">No s'han definit els outcomes </t>
  </si>
  <si>
    <t>Has a Project Owner (PO) been identified?</t>
  </si>
  <si>
    <t>Aigues de Barcelona es/serà el propietari</t>
  </si>
  <si>
    <t>Has the project theme been agreed with the challenge mentor?</t>
  </si>
  <si>
    <t>No hem tingut reunió amb el/la mentor/a</t>
  </si>
  <si>
    <t>Are success criteria documented?</t>
  </si>
  <si>
    <t>Fet</t>
  </si>
  <si>
    <t>Are the success criteria SMART?</t>
  </si>
  <si>
    <t>Afegit</t>
  </si>
  <si>
    <t>Have all the key project stakeholders been identified?</t>
  </si>
  <si>
    <t>Are all the initial roles and responsibilities defined?</t>
  </si>
  <si>
    <t>N/A</t>
  </si>
  <si>
    <t>Are major assumptions and constraints identified?</t>
  </si>
  <si>
    <t>(Detallat al project charter)</t>
  </si>
  <si>
    <t>Have the major risks been identified?</t>
  </si>
  <si>
    <t>Is there a Representative (REP) assigned to the project?</t>
  </si>
  <si>
    <t xml:space="preserve">Representant: Maria Beili </t>
  </si>
  <si>
    <t>Has the PCT decided whether to include a Project Manager (PM) rol?</t>
  </si>
  <si>
    <t>Project Manager: Martí Villaró</t>
  </si>
  <si>
    <t>Has a Project Charter been documented by the Project Core Team (PCT)?</t>
  </si>
  <si>
    <t xml:space="preserve">Is the project scope broken-down in manageable components that allow rough estimation of resources, work effort and duration? </t>
  </si>
  <si>
    <t>Is the project work breakdown structure completed ?</t>
  </si>
  <si>
    <t>Is the Project Initiation kick-off meeting planned?</t>
  </si>
  <si>
    <t>Have all artifacts been placed in the project repository Google Drive?</t>
  </si>
  <si>
    <t>Have all artifcats followed the configuration plan?</t>
  </si>
  <si>
    <t>Is the project ready to proceed to the Iteration Phase?</t>
  </si>
  <si>
    <t>Necessita ser aprovat  per SP i PSC</t>
  </si>
  <si>
    <t>Total score for compliance</t>
  </si>
  <si>
    <t>Iteration Phase-Exit Checks</t>
  </si>
  <si>
    <t>dd/mm/yyyy</t>
  </si>
  <si>
    <t>QUESTIONS TO BE ANSWERED AT THE END OF FIRST ITERATION</t>
  </si>
  <si>
    <t>Is the Stakeholder Matrix complete with all the relevant stakeholders' names and contact details?</t>
  </si>
  <si>
    <t>Are all project roles and responsibilities detailed?</t>
  </si>
  <si>
    <t>Has the product scope been agreed with the challenge expert or mentor?</t>
  </si>
  <si>
    <t>No, no tenim assignat un mentor</t>
  </si>
  <si>
    <t>Was the Project Work Plan baselined and approved by the Project Steering Committee (PSC)?</t>
  </si>
  <si>
    <t>Encara no</t>
  </si>
  <si>
    <t>Is the Project Work Plan baselined and approved by the Project Steering Committee (PSC)?</t>
  </si>
  <si>
    <t>Are all the communication items (e.g. meetings and reports) defined as well as their frequency?</t>
  </si>
  <si>
    <t>Is a Risk Management Plan documented as a separate document?</t>
  </si>
  <si>
    <t>Has a configuration management procedure been documented?</t>
  </si>
  <si>
    <t>Is there a Project Handbook documented?</t>
  </si>
  <si>
    <t xml:space="preserve">Donat pels professors </t>
  </si>
  <si>
    <t>Are all the major deviations from the Project Charter approved by the Project Steering Committee (PSC)?</t>
  </si>
  <si>
    <t xml:space="preserve">Have deliverables been performed as defined and scheduled in the work breakdown structure? </t>
  </si>
  <si>
    <t>Totes les entregues s'han realitzat com tocava i en el termini indicat.</t>
  </si>
  <si>
    <t>Were artefacts produced, updated and revised as planned?</t>
  </si>
  <si>
    <t>Correcte.</t>
  </si>
  <si>
    <t>Was the work breakdown structure refined at each iteration?</t>
  </si>
  <si>
    <t>No l'hem modificat.</t>
  </si>
  <si>
    <t>Was the iteration work defined at the beggining of each iteration?</t>
  </si>
  <si>
    <t>&lt;Add a justification here.&gt;</t>
  </si>
  <si>
    <t>Were the quality control activities performed as planned?</t>
  </si>
  <si>
    <t>No s'ha fet plantejat un quality control</t>
  </si>
  <si>
    <t>Are all major risks mitigated?</t>
  </si>
  <si>
    <t>No hem pogut implementar cap validació de les dades, ja que encara no les hem rebut.</t>
  </si>
  <si>
    <t>Have the products deliverables been agreed with the challenge expert or mentor?</t>
  </si>
  <si>
    <t>Encara no tenim mentor.</t>
  </si>
  <si>
    <t>Have all the approved changes been implemented?</t>
  </si>
  <si>
    <t>Encara no hem tingut feedback dels PSC ni mentors</t>
  </si>
  <si>
    <t>Are deliverables in line with requestor needs and expectations?</t>
  </si>
  <si>
    <t>Sí, progressa adequadament.</t>
  </si>
  <si>
    <t>Are all the project issues and corrective actions resolved / closed?</t>
  </si>
  <si>
    <t>Tot en ordre.</t>
  </si>
  <si>
    <t>Are all product deliverables ready to be approved by the Project Owner (PO)?</t>
  </si>
  <si>
    <t>Feina feta.</t>
  </si>
  <si>
    <t>Are all project artifacts ready to be approved by the Solution Provider (SP)?</t>
  </si>
  <si>
    <t>Les entregues s'han dut a terme.</t>
  </si>
  <si>
    <t>Were the relevant stakeholders informed about the delivery of projects outputs?</t>
  </si>
  <si>
    <t>Tots aquells stakeholders coneguts han estat informats. Com hem mencionat anteriorment, encara no tenim mentor.</t>
  </si>
  <si>
    <t>Were project performance indicators and metrics captured and assessed?</t>
  </si>
  <si>
    <t>No tenim dades</t>
  </si>
  <si>
    <t>Have all the communication items (meetings, reports,…) been implemented as planned?</t>
  </si>
  <si>
    <t>Have all deliverables/artifacts  been placed in the project repository Google Drive?</t>
  </si>
  <si>
    <t>Have all deliverables/artifacts followed the configuration plan?</t>
  </si>
  <si>
    <t>Segueixen el format requerit.</t>
  </si>
  <si>
    <t>Is the project ready to proceed to the Closing Phase?</t>
  </si>
  <si>
    <t>A l'espera feedback i millores per part de PSC</t>
  </si>
  <si>
    <t>Project Closure Phase-Exit Checks</t>
  </si>
  <si>
    <t>Did a Project-End Review Meeting take place?</t>
  </si>
  <si>
    <t>&lt;Add here the justification for the answer given.&gt;</t>
  </si>
  <si>
    <t>Has the product backlog been completed?</t>
  </si>
  <si>
    <t>Did the Appropriate Governance Board (AGB) formally approve deliverables (Challenge Final Report)?</t>
  </si>
  <si>
    <t>Were final project performance indicators and metrics assessed and compared to project baselines?</t>
  </si>
  <si>
    <t>Are project benefits and unachieved goals assessed and remaining benefits forecasted?</t>
  </si>
  <si>
    <t xml:space="preserve">Was client / requestor satisfaction assessed? </t>
  </si>
  <si>
    <t>In case some risks or issues couldn't be closed, are they re-assessed and follow-up actions recommended?</t>
  </si>
  <si>
    <t>Did all the relevant stakeholders give feedback on the overall project experience?</t>
  </si>
  <si>
    <t>Were lessons learned and post-project recommendations captured?</t>
  </si>
  <si>
    <t>Is the Project-End Report documented and delivered to the relevant stakeholders?</t>
  </si>
  <si>
    <t>Have all deliverables  been placed in the project repository Google Drive?</t>
  </si>
  <si>
    <t>Have all deliverables followed the configuration plan?</t>
  </si>
  <si>
    <t>Was the project formally accepted by the Project Steering Commitee (PSC), project-end report?</t>
  </si>
  <si>
    <t>Have project team members performance been assessed?</t>
  </si>
  <si>
    <t>Is the project ready to be closed?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</si>
</sst>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_)"/>
  </numFmts>
  <fonts count="22">
    <font>
      <sz val="10.0"/>
      <color rgb="FF000000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10.0"/>
      <color rgb="FF1B6FB5"/>
      <name val="Calibri"/>
    </font>
    <font/>
    <font>
      <b/>
      <sz val="16.0"/>
      <color theme="1"/>
      <name val="Calibri"/>
    </font>
    <font>
      <sz val="10.0"/>
      <color rgb="FF0000FF"/>
      <name val="Calibri"/>
    </font>
    <font>
      <b/>
      <sz val="12.0"/>
      <color theme="1"/>
      <name val="Calibri"/>
    </font>
    <font>
      <sz val="10.0"/>
      <color rgb="FF974806"/>
      <name val="Calibri"/>
    </font>
    <font>
      <sz val="12.0"/>
      <color theme="1"/>
      <name val="Calibri"/>
    </font>
    <font>
      <b/>
      <sz val="14.0"/>
      <color theme="1"/>
      <name val="Calibri"/>
    </font>
    <font>
      <b/>
      <sz val="24.0"/>
      <color rgb="FF0000FF"/>
      <name val="Calibri"/>
    </font>
    <font>
      <i/>
      <sz val="16.0"/>
      <color rgb="FF974806"/>
      <name val="Calibri"/>
    </font>
    <font>
      <i/>
      <sz val="10.0"/>
      <color theme="1"/>
      <name val="Calibri"/>
    </font>
    <font>
      <b/>
      <sz val="20.0"/>
      <color rgb="FFFFFFFF"/>
      <name val="Calibri"/>
    </font>
    <font>
      <sz val="11.0"/>
      <color theme="1"/>
      <name val="Calibri"/>
    </font>
    <font>
      <b/>
      <sz val="20.0"/>
      <color theme="1"/>
      <name val="Calibri"/>
    </font>
    <font>
      <b/>
      <sz val="11.0"/>
      <color rgb="FFFFFFFF"/>
      <name val="Calibri"/>
    </font>
    <font>
      <sz val="10.0"/>
      <color theme="1"/>
      <name val="Arial"/>
    </font>
    <font>
      <b/>
      <sz val="11.0"/>
      <color theme="1"/>
      <name val="Calibri"/>
    </font>
    <font>
      <b/>
      <sz val="11.0"/>
      <color theme="0"/>
      <name val="Calibri"/>
    </font>
    <font>
      <i/>
      <sz val="12.0"/>
      <color rgb="FF974806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EAF1DD"/>
        <bgColor rgb="FFEAF1DD"/>
      </patternFill>
    </fill>
    <fill>
      <patternFill patternType="solid">
        <fgColor rgb="FFFFE2A7"/>
        <bgColor rgb="FFFFE2A7"/>
      </patternFill>
    </fill>
    <fill>
      <patternFill patternType="solid">
        <fgColor rgb="FFA5A5A5"/>
        <bgColor rgb="FFA5A5A5"/>
      </patternFill>
    </fill>
    <fill>
      <patternFill patternType="solid">
        <fgColor rgb="FFEEECE1"/>
        <bgColor rgb="FFEEECE1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C2D69B"/>
        <bgColor rgb="FFC2D69B"/>
      </patternFill>
    </fill>
  </fills>
  <borders count="71">
    <border/>
    <border>
      <left/>
      <right/>
      <top/>
      <bottom/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 style="medium">
        <color rgb="FF000000"/>
      </top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/>
    </border>
    <border>
      <left style="medium">
        <color rgb="FF000000"/>
      </left>
      <right style="medium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hair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2" fontId="3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4" fillId="3" fontId="5" numFmtId="0" xfId="0" applyAlignment="1" applyBorder="1" applyFill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1" fillId="2" fontId="6" numFmtId="0" xfId="0" applyBorder="1" applyFont="1"/>
    <xf borderId="7" fillId="2" fontId="7" numFmtId="0" xfId="0" applyAlignment="1" applyBorder="1" applyFont="1">
      <alignment horizontal="right"/>
    </xf>
    <xf borderId="8" fillId="2" fontId="8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8" fillId="2" fontId="8" numFmtId="0" xfId="0" applyAlignment="1" applyBorder="1" applyFont="1">
      <alignment horizontal="center" readingOrder="0" shrinkToFit="0" vertical="center" wrapText="1"/>
    </xf>
    <xf borderId="7" fillId="4" fontId="7" numFmtId="0" xfId="0" applyAlignment="1" applyBorder="1" applyFill="1" applyFont="1">
      <alignment horizontal="right"/>
    </xf>
    <xf borderId="8" fillId="4" fontId="9" numFmtId="0" xfId="0" applyAlignment="1" applyBorder="1" applyFont="1">
      <alignment horizontal="center" shrinkToFit="0" vertical="center" wrapText="1"/>
    </xf>
    <xf borderId="11" fillId="2" fontId="8" numFmtId="0" xfId="0" applyAlignment="1" applyBorder="1" applyFont="1">
      <alignment horizontal="center" shrinkToFit="0" vertical="center" wrapText="1"/>
    </xf>
    <xf borderId="12" fillId="2" fontId="8" numFmtId="0" xfId="0" applyAlignment="1" applyBorder="1" applyFont="1">
      <alignment horizontal="center" shrinkToFit="0" vertical="center" wrapText="1"/>
    </xf>
    <xf borderId="13" fillId="2" fontId="8" numFmtId="0" xfId="0" applyAlignment="1" applyBorder="1" applyFont="1">
      <alignment horizontal="center" shrinkToFit="0" vertical="center" wrapText="1"/>
    </xf>
    <xf borderId="8" fillId="4" fontId="8" numFmtId="0" xfId="0" applyAlignment="1" applyBorder="1" applyFont="1">
      <alignment horizontal="center" shrinkToFit="0" vertical="center" wrapText="1"/>
    </xf>
    <xf borderId="1" fillId="2" fontId="2" numFmtId="164" xfId="0" applyBorder="1" applyFont="1" applyNumberFormat="1"/>
    <xf borderId="14" fillId="2" fontId="10" numFmtId="0" xfId="0" applyAlignment="1" applyBorder="1" applyFont="1">
      <alignment horizontal="right" shrinkToFit="0" wrapText="1"/>
    </xf>
    <xf borderId="8" fillId="2" fontId="10" numFmtId="9" xfId="0" applyAlignment="1" applyBorder="1" applyFont="1" applyNumberFormat="1">
      <alignment horizontal="center" shrinkToFit="0" vertical="center" wrapText="1"/>
    </xf>
    <xf borderId="1" fillId="2" fontId="9" numFmtId="0" xfId="0" applyBorder="1" applyFont="1"/>
    <xf borderId="15" fillId="2" fontId="10" numFmtId="0" xfId="0" applyAlignment="1" applyBorder="1" applyFont="1">
      <alignment horizontal="right" shrinkToFit="0" wrapText="1"/>
    </xf>
    <xf borderId="16" fillId="2" fontId="11" numFmtId="2" xfId="0" applyAlignment="1" applyBorder="1" applyFont="1" applyNumberFormat="1">
      <alignment horizontal="center" vertical="center"/>
    </xf>
    <xf borderId="17" fillId="0" fontId="4" numFmtId="0" xfId="0" applyBorder="1" applyFont="1"/>
    <xf borderId="18" fillId="0" fontId="4" numFmtId="0" xfId="0" applyBorder="1" applyFont="1"/>
    <xf borderId="1" fillId="2" fontId="7" numFmtId="0" xfId="0" applyBorder="1" applyFont="1"/>
    <xf borderId="19" fillId="4" fontId="7" numFmtId="0" xfId="0" applyAlignment="1" applyBorder="1" applyFont="1">
      <alignment horizontal="center" shrinkToFit="0" vertical="center" wrapText="1"/>
    </xf>
    <xf borderId="20" fillId="4" fontId="7" numFmtId="0" xfId="0" applyAlignment="1" applyBorder="1" applyFont="1">
      <alignment horizontal="center" shrinkToFit="0" vertical="center" wrapText="1"/>
    </xf>
    <xf borderId="21" fillId="4" fontId="7" numFmtId="0" xfId="0" applyAlignment="1" applyBorder="1" applyFont="1">
      <alignment horizontal="center" shrinkToFit="0" vertical="center" wrapText="1"/>
    </xf>
    <xf borderId="22" fillId="4" fontId="7" numFmtId="0" xfId="0" applyAlignment="1" applyBorder="1" applyFont="1">
      <alignment horizontal="center" shrinkToFit="0" vertical="center" wrapText="1"/>
    </xf>
    <xf borderId="23" fillId="2" fontId="7" numFmtId="0" xfId="0" applyAlignment="1" applyBorder="1" applyFont="1">
      <alignment horizontal="left" shrinkToFit="0" vertical="center" wrapText="1"/>
    </xf>
    <xf borderId="11" fillId="2" fontId="12" numFmtId="9" xfId="0" applyAlignment="1" applyBorder="1" applyFont="1" applyNumberFormat="1">
      <alignment horizontal="center" vertical="center"/>
    </xf>
    <xf borderId="24" fillId="2" fontId="7" numFmtId="9" xfId="0" applyAlignment="1" applyBorder="1" applyFont="1" applyNumberFormat="1">
      <alignment horizontal="center" shrinkToFit="0" vertical="center" wrapText="1"/>
    </xf>
    <xf borderId="12" fillId="2" fontId="7" numFmtId="14" xfId="0" applyAlignment="1" applyBorder="1" applyFont="1" applyNumberFormat="1">
      <alignment horizontal="center" shrinkToFit="0" vertical="center" wrapText="1"/>
    </xf>
    <xf borderId="13" fillId="2" fontId="7" numFmtId="0" xfId="0" applyAlignment="1" applyBorder="1" applyFont="1">
      <alignment horizontal="center" shrinkToFit="0" vertical="center" wrapText="1"/>
    </xf>
    <xf borderId="1" fillId="2" fontId="13" numFmtId="0" xfId="0" applyBorder="1" applyFont="1"/>
    <xf borderId="11" fillId="2" fontId="7" numFmtId="9" xfId="0" applyAlignment="1" applyBorder="1" applyFont="1" applyNumberFormat="1">
      <alignment horizontal="center" shrinkToFit="0" vertical="center" wrapText="1"/>
    </xf>
    <xf borderId="25" fillId="2" fontId="7" numFmtId="0" xfId="0" applyAlignment="1" applyBorder="1" applyFont="1">
      <alignment horizontal="left" shrinkToFit="0" vertical="center" wrapText="1"/>
    </xf>
    <xf borderId="26" fillId="2" fontId="12" numFmtId="9" xfId="0" applyAlignment="1" applyBorder="1" applyFont="1" applyNumberFormat="1">
      <alignment horizontal="center" vertical="center"/>
    </xf>
    <xf borderId="26" fillId="2" fontId="7" numFmtId="9" xfId="0" applyAlignment="1" applyBorder="1" applyFont="1" applyNumberFormat="1">
      <alignment horizontal="center" shrinkToFit="0" vertical="center" wrapText="1"/>
    </xf>
    <xf borderId="27" fillId="2" fontId="7" numFmtId="14" xfId="0" applyAlignment="1" applyBorder="1" applyFont="1" applyNumberFormat="1">
      <alignment horizontal="center" shrinkToFit="0" vertical="center" wrapText="1"/>
    </xf>
    <xf borderId="28" fillId="2" fontId="7" numFmtId="0" xfId="0" applyAlignment="1" applyBorder="1" applyFont="1">
      <alignment horizontal="center" shrinkToFit="0" vertical="center" wrapText="1"/>
    </xf>
    <xf borderId="19" fillId="2" fontId="1" numFmtId="0" xfId="0" applyBorder="1" applyFont="1"/>
    <xf borderId="29" fillId="2" fontId="2" numFmtId="0" xfId="0" applyAlignment="1" applyBorder="1" applyFont="1">
      <alignment shrinkToFit="0" wrapText="1"/>
    </xf>
    <xf borderId="30" fillId="0" fontId="4" numFmtId="0" xfId="0" applyBorder="1" applyFont="1"/>
    <xf borderId="31" fillId="0" fontId="4" numFmtId="0" xfId="0" applyBorder="1" applyFont="1"/>
    <xf borderId="1" fillId="2" fontId="1" numFmtId="0" xfId="0" applyAlignment="1" applyBorder="1" applyFont="1">
      <alignment horizontal="center"/>
    </xf>
    <xf borderId="7" fillId="2" fontId="14" numFmtId="0" xfId="0" applyAlignment="1" applyBorder="1" applyFont="1">
      <alignment horizontal="center" vertical="center"/>
    </xf>
    <xf borderId="8" fillId="2" fontId="15" numFmtId="0" xfId="0" applyAlignment="1" applyBorder="1" applyFont="1">
      <alignment shrinkToFit="0" vertical="center" wrapText="1"/>
    </xf>
    <xf borderId="7" fillId="2" fontId="16" numFmtId="0" xfId="0" applyAlignment="1" applyBorder="1" applyFont="1">
      <alignment horizontal="center" vertical="center"/>
    </xf>
    <xf borderId="15" fillId="2" fontId="16" numFmtId="0" xfId="0" applyAlignment="1" applyBorder="1" applyFont="1">
      <alignment horizontal="center" vertical="center"/>
    </xf>
    <xf borderId="16" fillId="2" fontId="15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shrinkToFit="0" wrapText="1"/>
    </xf>
    <xf borderId="2" fillId="2" fontId="1" numFmtId="0" xfId="0" applyAlignment="1" applyBorder="1" applyFont="1">
      <alignment shrinkToFit="0" wrapText="1"/>
    </xf>
    <xf borderId="32" fillId="5" fontId="7" numFmtId="0" xfId="0" applyAlignment="1" applyBorder="1" applyFill="1" applyFont="1">
      <alignment horizontal="center" vertical="center"/>
    </xf>
    <xf borderId="33" fillId="5" fontId="7" numFmtId="0" xfId="0" applyAlignment="1" applyBorder="1" applyFont="1">
      <alignment horizontal="center" vertical="center"/>
    </xf>
    <xf borderId="33" fillId="5" fontId="7" numFmtId="0" xfId="0" applyAlignment="1" applyBorder="1" applyFont="1">
      <alignment horizontal="right" vertical="center"/>
    </xf>
    <xf borderId="34" fillId="6" fontId="17" numFmtId="14" xfId="0" applyAlignment="1" applyBorder="1" applyFill="1" applyFont="1" applyNumberFormat="1">
      <alignment horizontal="center" readingOrder="0" vertical="center"/>
    </xf>
    <xf borderId="35" fillId="5" fontId="7" numFmtId="0" xfId="0" applyAlignment="1" applyBorder="1" applyFont="1">
      <alignment horizontal="right" vertical="center"/>
    </xf>
    <xf borderId="36" fillId="0" fontId="4" numFmtId="0" xfId="0" applyBorder="1" applyFont="1"/>
    <xf borderId="33" fillId="5" fontId="7" numFmtId="9" xfId="0" applyAlignment="1" applyBorder="1" applyFont="1" applyNumberFormat="1">
      <alignment horizontal="center" vertical="center"/>
    </xf>
    <xf borderId="37" fillId="5" fontId="12" numFmtId="9" xfId="0" applyAlignment="1" applyBorder="1" applyFont="1" applyNumberFormat="1">
      <alignment horizontal="center" vertical="center"/>
    </xf>
    <xf borderId="32" fillId="7" fontId="7" numFmtId="0" xfId="0" applyAlignment="1" applyBorder="1" applyFill="1" applyFont="1">
      <alignment horizontal="center" vertical="center"/>
    </xf>
    <xf borderId="38" fillId="7" fontId="7" numFmtId="0" xfId="0" applyAlignment="1" applyBorder="1" applyFont="1">
      <alignment horizontal="center" vertical="center"/>
    </xf>
    <xf borderId="33" fillId="7" fontId="7" numFmtId="0" xfId="0" applyAlignment="1" applyBorder="1" applyFont="1">
      <alignment horizontal="center" vertical="center"/>
    </xf>
    <xf borderId="39" fillId="7" fontId="7" numFmtId="0" xfId="0" applyAlignment="1" applyBorder="1" applyFont="1">
      <alignment horizontal="center" vertical="center"/>
    </xf>
    <xf borderId="40" fillId="2" fontId="15" numFmtId="0" xfId="0" applyAlignment="1" applyBorder="1" applyFont="1">
      <alignment horizontal="center" shrinkToFit="0" vertical="center" wrapText="1"/>
    </xf>
    <xf borderId="41" fillId="2" fontId="15" numFmtId="0" xfId="0" applyAlignment="1" applyBorder="1" applyFont="1">
      <alignment horizontal="left" shrinkToFit="0" vertical="center" wrapText="1"/>
    </xf>
    <xf borderId="42" fillId="2" fontId="15" numFmtId="0" xfId="0" applyAlignment="1" applyBorder="1" applyFont="1">
      <alignment horizontal="center" readingOrder="0" shrinkToFit="0" vertical="center" wrapText="1"/>
    </xf>
    <xf borderId="43" fillId="2" fontId="15" numFmtId="0" xfId="0" applyAlignment="1" applyBorder="1" applyFont="1">
      <alignment horizontal="center" shrinkToFit="0" vertical="center" wrapText="1"/>
    </xf>
    <xf borderId="44" fillId="2" fontId="3" numFmtId="0" xfId="0" applyAlignment="1" applyBorder="1" applyFont="1">
      <alignment horizontal="left" readingOrder="0" shrinkToFit="0" wrapText="1"/>
    </xf>
    <xf borderId="45" fillId="2" fontId="15" numFmtId="0" xfId="0" applyAlignment="1" applyBorder="1" applyFont="1">
      <alignment horizontal="center" shrinkToFit="0" vertical="center" wrapText="1"/>
    </xf>
    <xf borderId="46" fillId="2" fontId="15" numFmtId="0" xfId="0" applyAlignment="1" applyBorder="1" applyFont="1">
      <alignment horizontal="left" shrinkToFit="0" vertical="center" wrapText="1"/>
    </xf>
    <xf borderId="47" fillId="2" fontId="15" numFmtId="0" xfId="0" applyAlignment="1" applyBorder="1" applyFont="1">
      <alignment horizontal="center" readingOrder="0" shrinkToFit="0" vertical="center" wrapText="1"/>
    </xf>
    <xf borderId="1" fillId="2" fontId="18" numFmtId="0" xfId="0" applyBorder="1" applyFont="1"/>
    <xf borderId="44" fillId="2" fontId="3" numFmtId="0" xfId="0" applyAlignment="1" applyBorder="1" applyFont="1">
      <alignment horizontal="left" shrinkToFit="0" wrapText="1"/>
    </xf>
    <xf borderId="48" fillId="2" fontId="15" numFmtId="0" xfId="0" applyAlignment="1" applyBorder="1" applyFont="1">
      <alignment horizontal="left" shrinkToFit="0" vertical="center" wrapText="1"/>
    </xf>
    <xf borderId="49" fillId="2" fontId="15" numFmtId="0" xfId="0" applyAlignment="1" applyBorder="1" applyFont="1">
      <alignment horizontal="center" readingOrder="0" shrinkToFit="0" vertical="center" wrapText="1"/>
    </xf>
    <xf borderId="32" fillId="5" fontId="19" numFmtId="0" xfId="0" applyAlignment="1" applyBorder="1" applyFont="1">
      <alignment horizontal="center" shrinkToFit="0" vertical="center" wrapText="1"/>
    </xf>
    <xf borderId="33" fillId="5" fontId="19" numFmtId="0" xfId="0" applyAlignment="1" applyBorder="1" applyFont="1">
      <alignment horizontal="left" shrinkToFit="0" vertical="center" wrapText="1"/>
    </xf>
    <xf borderId="33" fillId="5" fontId="19" numFmtId="0" xfId="0" applyAlignment="1" applyBorder="1" applyFont="1">
      <alignment horizontal="center" vertical="center"/>
    </xf>
    <xf borderId="33" fillId="5" fontId="19" numFmtId="0" xfId="0" applyAlignment="1" applyBorder="1" applyFont="1">
      <alignment horizontal="center" shrinkToFit="0" vertical="center" wrapText="1"/>
    </xf>
    <xf borderId="39" fillId="5" fontId="19" numFmtId="0" xfId="0" applyAlignment="1" applyBorder="1" applyFont="1">
      <alignment horizontal="center" shrinkToFit="0" vertical="center" wrapText="1"/>
    </xf>
    <xf borderId="32" fillId="8" fontId="7" numFmtId="0" xfId="0" applyAlignment="1" applyBorder="1" applyFill="1" applyFont="1">
      <alignment horizontal="center" vertical="center"/>
    </xf>
    <xf borderId="33" fillId="8" fontId="7" numFmtId="0" xfId="0" applyAlignment="1" applyBorder="1" applyFont="1">
      <alignment horizontal="center" vertical="center"/>
    </xf>
    <xf borderId="33" fillId="8" fontId="7" numFmtId="0" xfId="0" applyAlignment="1" applyBorder="1" applyFont="1">
      <alignment horizontal="right" vertical="center"/>
    </xf>
    <xf borderId="34" fillId="6" fontId="20" numFmtId="14" xfId="0" applyAlignment="1" applyBorder="1" applyFont="1" applyNumberFormat="1">
      <alignment horizontal="center" vertical="center"/>
    </xf>
    <xf borderId="35" fillId="8" fontId="7" numFmtId="0" xfId="0" applyAlignment="1" applyBorder="1" applyFont="1">
      <alignment horizontal="right" vertical="center"/>
    </xf>
    <xf borderId="33" fillId="8" fontId="7" numFmtId="9" xfId="0" applyAlignment="1" applyBorder="1" applyFont="1" applyNumberFormat="1">
      <alignment horizontal="center" vertical="center"/>
    </xf>
    <xf borderId="39" fillId="8" fontId="21" numFmtId="9" xfId="0" applyAlignment="1" applyBorder="1" applyFont="1" applyNumberFormat="1">
      <alignment horizontal="center" vertical="center"/>
    </xf>
    <xf borderId="50" fillId="7" fontId="7" numFmtId="0" xfId="0" applyAlignment="1" applyBorder="1" applyFont="1">
      <alignment horizontal="center" vertical="center"/>
    </xf>
    <xf borderId="2" fillId="2" fontId="2" numFmtId="0" xfId="0" applyBorder="1" applyFont="1"/>
    <xf borderId="35" fillId="2" fontId="15" numFmtId="0" xfId="0" applyAlignment="1" applyBorder="1" applyFont="1">
      <alignment horizontal="center" shrinkToFit="0" vertical="center" wrapText="1"/>
    </xf>
    <xf borderId="51" fillId="2" fontId="19" numFmtId="0" xfId="0" applyAlignment="1" applyBorder="1" applyFont="1">
      <alignment horizontal="left" shrinkToFit="0" vertical="center" wrapText="1"/>
    </xf>
    <xf borderId="52" fillId="2" fontId="15" numFmtId="0" xfId="0" applyAlignment="1" applyBorder="1" applyFont="1">
      <alignment horizontal="center" shrinkToFit="0" vertical="center" wrapText="1"/>
    </xf>
    <xf borderId="36" fillId="2" fontId="15" numFmtId="0" xfId="0" applyAlignment="1" applyBorder="1" applyFont="1">
      <alignment horizontal="center" shrinkToFit="0" vertical="center" wrapText="1"/>
    </xf>
    <xf borderId="53" fillId="2" fontId="3" numFmtId="0" xfId="0" applyAlignment="1" applyBorder="1" applyFont="1">
      <alignment horizontal="left" shrinkToFit="0" wrapText="1"/>
    </xf>
    <xf borderId="54" fillId="2" fontId="2" numFmtId="0" xfId="0" applyBorder="1" applyFont="1"/>
    <xf borderId="55" fillId="2" fontId="15" numFmtId="0" xfId="0" applyAlignment="1" applyBorder="1" applyFont="1">
      <alignment horizontal="center" shrinkToFit="0" vertical="center" wrapText="1"/>
    </xf>
    <xf borderId="56" fillId="2" fontId="15" numFmtId="0" xfId="0" applyAlignment="1" applyBorder="1" applyFont="1">
      <alignment horizontal="center" readingOrder="0" shrinkToFit="0" vertical="center" wrapText="1"/>
    </xf>
    <xf borderId="47" fillId="2" fontId="15" numFmtId="0" xfId="0" applyAlignment="1" applyBorder="1" applyFont="1">
      <alignment horizontal="center" shrinkToFit="0" vertical="center" wrapText="1"/>
    </xf>
    <xf borderId="57" fillId="2" fontId="3" numFmtId="0" xfId="0" applyAlignment="1" applyBorder="1" applyFont="1">
      <alignment horizontal="left" shrinkToFit="0" wrapText="1"/>
    </xf>
    <xf borderId="58" fillId="2" fontId="3" numFmtId="0" xfId="0" applyAlignment="1" applyBorder="1" applyFont="1">
      <alignment horizontal="left" shrinkToFit="0" vertical="center" wrapText="1"/>
    </xf>
    <xf borderId="58" fillId="2" fontId="3" numFmtId="0" xfId="0" applyAlignment="1" applyBorder="1" applyFont="1">
      <alignment horizontal="left" readingOrder="0" shrinkToFit="0" vertical="center" wrapText="1"/>
    </xf>
    <xf borderId="59" fillId="2" fontId="15" numFmtId="0" xfId="0" applyAlignment="1" applyBorder="1" applyFont="1">
      <alignment horizontal="center" shrinkToFit="0" vertical="center" wrapText="1"/>
    </xf>
    <xf borderId="60" fillId="2" fontId="15" numFmtId="0" xfId="0" applyAlignment="1" applyBorder="1" applyFont="1">
      <alignment horizontal="left" shrinkToFit="0" vertical="center" wrapText="1"/>
    </xf>
    <xf borderId="61" fillId="2" fontId="15" numFmtId="0" xfId="0" applyAlignment="1" applyBorder="1" applyFont="1">
      <alignment horizontal="center" readingOrder="0" shrinkToFit="0" vertical="center" wrapText="1"/>
    </xf>
    <xf borderId="62" fillId="2" fontId="15" numFmtId="0" xfId="0" applyAlignment="1" applyBorder="1" applyFont="1">
      <alignment horizontal="center" shrinkToFit="0" vertical="center" wrapText="1"/>
    </xf>
    <xf borderId="57" fillId="2" fontId="3" numFmtId="0" xfId="0" applyAlignment="1" applyBorder="1" applyFont="1">
      <alignment horizontal="left" readingOrder="0" shrinkToFit="0" vertical="center" wrapText="1"/>
    </xf>
    <xf borderId="53" fillId="2" fontId="3" numFmtId="0" xfId="0" applyAlignment="1" applyBorder="1" applyFont="1">
      <alignment horizontal="left" shrinkToFit="0" vertical="center" wrapText="1"/>
    </xf>
    <xf borderId="63" fillId="2" fontId="15" numFmtId="0" xfId="0" applyAlignment="1" applyBorder="1" applyFont="1">
      <alignment horizontal="center" shrinkToFit="0" vertical="center" wrapText="1"/>
    </xf>
    <xf borderId="56" fillId="2" fontId="15" numFmtId="0" xfId="0" applyAlignment="1" applyBorder="1" applyFont="1">
      <alignment horizontal="center" shrinkToFit="0" vertical="center" wrapText="1"/>
    </xf>
    <xf borderId="64" fillId="2" fontId="3" numFmtId="0" xfId="0" applyAlignment="1" applyBorder="1" applyFont="1">
      <alignment horizontal="left" readingOrder="0" shrinkToFit="0" vertical="center" wrapText="1"/>
    </xf>
    <xf borderId="46" fillId="2" fontId="15" numFmtId="0" xfId="0" applyBorder="1" applyFont="1"/>
    <xf borderId="46" fillId="2" fontId="15" numFmtId="0" xfId="0" applyAlignment="1" applyBorder="1" applyFont="1">
      <alignment horizontal="left" shrinkToFit="0" wrapText="1"/>
    </xf>
    <xf borderId="65" fillId="2" fontId="15" numFmtId="0" xfId="0" applyAlignment="1" applyBorder="1" applyFont="1">
      <alignment horizontal="center" readingOrder="0" shrinkToFit="0" vertical="center" wrapText="1"/>
    </xf>
    <xf borderId="66" fillId="2" fontId="15" numFmtId="0" xfId="0" applyAlignment="1" applyBorder="1" applyFont="1">
      <alignment horizontal="center" shrinkToFit="0" vertical="center" wrapText="1"/>
    </xf>
    <xf borderId="32" fillId="9" fontId="19" numFmtId="0" xfId="0" applyAlignment="1" applyBorder="1" applyFill="1" applyFont="1">
      <alignment horizontal="center" shrinkToFit="0" vertical="center" wrapText="1"/>
    </xf>
    <xf borderId="33" fillId="9" fontId="19" numFmtId="0" xfId="0" applyAlignment="1" applyBorder="1" applyFont="1">
      <alignment horizontal="left" shrinkToFit="0" vertical="center" wrapText="1"/>
    </xf>
    <xf borderId="33" fillId="9" fontId="19" numFmtId="0" xfId="0" applyAlignment="1" applyBorder="1" applyFont="1">
      <alignment horizontal="center" shrinkToFit="0" vertical="center" wrapText="1"/>
    </xf>
    <xf borderId="39" fillId="9" fontId="19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/>
    </xf>
    <xf borderId="32" fillId="10" fontId="7" numFmtId="0" xfId="0" applyAlignment="1" applyBorder="1" applyFill="1" applyFont="1">
      <alignment horizontal="center" vertical="center"/>
    </xf>
    <xf borderId="33" fillId="10" fontId="7" numFmtId="0" xfId="0" applyAlignment="1" applyBorder="1" applyFont="1">
      <alignment horizontal="center" vertical="center"/>
    </xf>
    <xf borderId="33" fillId="10" fontId="7" numFmtId="0" xfId="0" applyAlignment="1" applyBorder="1" applyFont="1">
      <alignment horizontal="right" vertical="center"/>
    </xf>
    <xf borderId="35" fillId="10" fontId="7" numFmtId="0" xfId="0" applyAlignment="1" applyBorder="1" applyFont="1">
      <alignment horizontal="right" vertical="center"/>
    </xf>
    <xf borderId="33" fillId="10" fontId="7" numFmtId="9" xfId="0" applyAlignment="1" applyBorder="1" applyFont="1" applyNumberFormat="1">
      <alignment horizontal="center" vertical="center"/>
    </xf>
    <xf borderId="39" fillId="10" fontId="12" numFmtId="9" xfId="0" applyAlignment="1" applyBorder="1" applyFont="1" applyNumberFormat="1">
      <alignment horizontal="center" vertical="center"/>
    </xf>
    <xf borderId="67" fillId="2" fontId="15" numFmtId="0" xfId="0" applyAlignment="1" applyBorder="1" applyFont="1">
      <alignment horizontal="left" shrinkToFit="0" vertical="center" wrapText="1"/>
    </xf>
    <xf borderId="49" fillId="2" fontId="15" numFmtId="0" xfId="0" applyAlignment="1" applyBorder="1" applyFont="1">
      <alignment horizontal="center" shrinkToFit="0" vertical="center" wrapText="1"/>
    </xf>
    <xf borderId="68" fillId="2" fontId="3" numFmtId="0" xfId="0" applyAlignment="1" applyBorder="1" applyFont="1">
      <alignment horizontal="left" shrinkToFit="0" wrapText="1"/>
    </xf>
    <xf borderId="69" fillId="2" fontId="15" numFmtId="0" xfId="0" applyAlignment="1" applyBorder="1" applyFont="1">
      <alignment horizontal="center" shrinkToFit="0" vertical="center" wrapText="1"/>
    </xf>
    <xf borderId="70" fillId="2" fontId="15" numFmtId="0" xfId="0" applyAlignment="1" applyBorder="1" applyFont="1">
      <alignment horizontal="left" shrinkToFit="0" vertical="center" wrapText="1"/>
    </xf>
    <xf borderId="65" fillId="2" fontId="15" numFmtId="0" xfId="0" applyAlignment="1" applyBorder="1" applyFont="1">
      <alignment horizontal="center" shrinkToFit="0" vertical="center" wrapText="1"/>
    </xf>
    <xf borderId="32" fillId="10" fontId="19" numFmtId="0" xfId="0" applyAlignment="1" applyBorder="1" applyFont="1">
      <alignment horizontal="center" shrinkToFit="0" vertical="center" wrapText="1"/>
    </xf>
    <xf borderId="33" fillId="10" fontId="19" numFmtId="0" xfId="0" applyAlignment="1" applyBorder="1" applyFont="1">
      <alignment horizontal="left" shrinkToFit="0" vertical="center" wrapText="1"/>
    </xf>
    <xf borderId="33" fillId="10" fontId="19" numFmtId="0" xfId="0" applyAlignment="1" applyBorder="1" applyFont="1">
      <alignment horizontal="center" shrinkToFit="0" vertical="center" wrapText="1"/>
    </xf>
    <xf borderId="39" fillId="10" fontId="19" numFmtId="0" xfId="0" applyAlignment="1" applyBorder="1" applyFont="1">
      <alignment horizontal="center" shrinkToFit="0" vertical="center" wrapText="1"/>
    </xf>
    <xf borderId="38" fillId="2" fontId="2" numFmtId="0" xfId="0" applyAlignment="1" applyBorder="1" applyFont="1">
      <alignment horizontal="center" shrinkToFit="0" wrapText="1"/>
    </xf>
    <xf borderId="38" fillId="2" fontId="2" numFmtId="0" xfId="0" applyBorder="1" applyFont="1"/>
    <xf borderId="38" fillId="2" fontId="2" numFmtId="0" xfId="0" applyAlignment="1" applyBorder="1" applyFont="1">
      <alignment horizontal="center" shrinkToFit="0" vertical="center" wrapText="1"/>
    </xf>
    <xf borderId="38" fillId="2" fontId="2" numFmtId="0" xfId="0" applyAlignment="1" applyBorder="1" applyFont="1">
      <alignment horizontal="left" shrinkToFit="0" wrapText="1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left" shrinkToFit="0" wrapText="1"/>
    </xf>
    <xf borderId="1" fillId="2" fontId="7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757575"/>
                </a:solidFill>
                <a:latin typeface="+mn-lt"/>
              </a:defRPr>
            </a:pPr>
            <a:r>
              <a:rPr b="1" i="0" sz="2400">
                <a:solidFill>
                  <a:srgbClr val="757575"/>
                </a:solidFill>
                <a:latin typeface="+mn-lt"/>
              </a:rPr>
              <a:t>Phase-Exit Status </a:t>
            </a:r>
          </a:p>
        </c:rich>
      </c:tx>
      <c:layout>
        <c:manualLayout>
          <c:xMode val="edge"/>
          <c:yMode val="edge"/>
          <c:x val="0.2600711753136121"/>
          <c:y val="0.13082540055627376"/>
        </c:manualLayout>
      </c:layout>
      <c:overlay val="0"/>
    </c:title>
    <c:plotArea>
      <c:layout>
        <c:manualLayout>
          <c:xMode val="edge"/>
          <c:yMode val="edge"/>
          <c:x val="0.24288425047438333"/>
          <c:y val="0.2803037215507654"/>
          <c:w val="0.4686907020872866"/>
          <c:h val="0.6237389119192708"/>
        </c:manualLayout>
      </c:layout>
      <c:barChart>
        <c:barDir val="bar"/>
        <c:ser>
          <c:idx val="0"/>
          <c:order val="0"/>
          <c:tx>
            <c:v>% of phase completion</c:v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CC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5750B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5399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Summary!$B$19:$B$21</c:f>
            </c:strRef>
          </c:cat>
          <c:val>
            <c:numRef>
              <c:f>Summary!$D$19:$D$21</c:f>
              <c:numCache/>
            </c:numRef>
          </c:val>
        </c:ser>
        <c:axId val="1096692174"/>
        <c:axId val="440408391"/>
      </c:barChart>
      <c:catAx>
        <c:axId val="10966921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Project Phases</a:t>
                </a:r>
              </a:p>
            </c:rich>
          </c:tx>
          <c:layout>
            <c:manualLayout>
              <c:xMode val="edge"/>
              <c:yMode val="edge"/>
              <c:x val="0.09260263519691618"/>
              <c:y val="0.5261183844556744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440408391"/>
      </c:catAx>
      <c:valAx>
        <c:axId val="440408391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% of Phase Compliance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ln/>
        </c:spPr>
        <c:txPr>
          <a:bodyPr rot="0"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1096692174"/>
        <c:crosses val="max"/>
        <c:majorUnit val="1.0"/>
        <c:minorUnit val="0.1"/>
      </c:valAx>
      <c:spPr>
        <a:solidFill>
          <a:schemeClr val="accent6"/>
        </a:solidFill>
      </c:spPr>
    </c:plotArea>
    <c:plotVisOnly val="0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2</xdr:row>
      <xdr:rowOff>95250</xdr:rowOff>
    </xdr:from>
    <xdr:ext cx="8172450" cy="5010150"/>
    <xdr:graphicFrame>
      <xdr:nvGraphicFramePr>
        <xdr:cNvPr id="154879340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CCE4"/>
    <pageSetUpPr fitToPage="1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35.38"/>
    <col customWidth="1" min="3" max="3" width="27.38"/>
    <col customWidth="1" min="4" max="4" width="12.38"/>
    <col customWidth="1" min="5" max="5" width="13.75"/>
    <col customWidth="1" min="6" max="6" width="15.38"/>
    <col customWidth="1" min="7" max="7" width="9.25"/>
    <col customWidth="1" min="8" max="8" width="7.38"/>
    <col customWidth="1" min="9" max="10" width="12.38"/>
    <col customWidth="1" min="11" max="11" width="10.38"/>
    <col customWidth="1" min="12" max="15" width="9.25"/>
    <col customWidth="1" min="16" max="16" width="14.0"/>
    <col customWidth="1" min="17" max="26" width="9.25"/>
  </cols>
  <sheetData>
    <row r="1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4.75" customHeight="1">
      <c r="A2" s="2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"/>
      <c r="T2" s="2"/>
      <c r="U2" s="2"/>
      <c r="V2" s="2"/>
      <c r="W2" s="2"/>
      <c r="X2" s="2"/>
      <c r="Y2" s="2"/>
      <c r="Z2" s="2"/>
    </row>
    <row r="3" ht="21.0" customHeight="1">
      <c r="A3" s="2"/>
      <c r="B3" s="5" t="s">
        <v>1</v>
      </c>
      <c r="C3" s="6"/>
      <c r="D3" s="6"/>
      <c r="E3" s="6"/>
      <c r="F3" s="7"/>
      <c r="G3" s="8"/>
      <c r="H3" s="8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2"/>
      <c r="B4" s="9" t="s">
        <v>2</v>
      </c>
      <c r="C4" s="10" t="s">
        <v>3</v>
      </c>
      <c r="D4" s="11"/>
      <c r="E4" s="11"/>
      <c r="F4" s="1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2"/>
      <c r="B5" s="9" t="s">
        <v>4</v>
      </c>
      <c r="C5" s="13" t="s">
        <v>5</v>
      </c>
      <c r="D5" s="11"/>
      <c r="E5" s="11"/>
      <c r="F5" s="1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.5" customHeight="1">
      <c r="A6" s="2"/>
      <c r="B6" s="14"/>
      <c r="C6" s="15"/>
      <c r="D6" s="11"/>
      <c r="E6" s="11"/>
      <c r="F6" s="1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2"/>
      <c r="B7" s="9" t="s">
        <v>6</v>
      </c>
      <c r="C7" s="13" t="s">
        <v>7</v>
      </c>
      <c r="D7" s="11"/>
      <c r="E7" s="11"/>
      <c r="F7" s="1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.25" customHeight="1">
      <c r="A8" s="2"/>
      <c r="B8" s="9"/>
      <c r="C8" s="16"/>
      <c r="D8" s="16"/>
      <c r="E8" s="17"/>
      <c r="F8" s="18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9" t="s">
        <v>8</v>
      </c>
      <c r="C9" s="13" t="s">
        <v>9</v>
      </c>
      <c r="D9" s="11"/>
      <c r="E9" s="11"/>
      <c r="F9" s="1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.25" customHeight="1">
      <c r="A10" s="2"/>
      <c r="B10" s="9"/>
      <c r="C10" s="10"/>
      <c r="D10" s="11"/>
      <c r="E10" s="11"/>
      <c r="F10" s="1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"/>
      <c r="B11" s="9" t="s">
        <v>10</v>
      </c>
      <c r="C11" s="13" t="s">
        <v>11</v>
      </c>
      <c r="D11" s="11"/>
      <c r="E11" s="11"/>
      <c r="F11" s="1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.25" customHeight="1">
      <c r="A12" s="2"/>
      <c r="B12" s="14"/>
      <c r="C12" s="19"/>
      <c r="D12" s="11"/>
      <c r="E12" s="11"/>
      <c r="F12" s="12"/>
      <c r="G12" s="2"/>
      <c r="H12" s="2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9" t="s">
        <v>12</v>
      </c>
      <c r="C13" s="10" t="s">
        <v>13</v>
      </c>
      <c r="D13" s="11"/>
      <c r="E13" s="11"/>
      <c r="F13" s="1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.25" customHeight="1">
      <c r="A14" s="2"/>
      <c r="B14" s="14"/>
      <c r="C14" s="15"/>
      <c r="D14" s="11"/>
      <c r="E14" s="11"/>
      <c r="F14" s="1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2"/>
      <c r="B15" s="21" t="s">
        <v>14</v>
      </c>
      <c r="C15" s="22">
        <f>AVERAGE(D19,D20,D21)</f>
        <v>0.4848759831</v>
      </c>
      <c r="D15" s="11"/>
      <c r="E15" s="11"/>
      <c r="F15" s="1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6.75" customHeight="1">
      <c r="A16" s="23"/>
      <c r="B16" s="24" t="s">
        <v>15</v>
      </c>
      <c r="C16" s="25">
        <f>C15</f>
        <v>0.4848759831</v>
      </c>
      <c r="D16" s="26"/>
      <c r="E16" s="26"/>
      <c r="F16" s="2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29" t="s">
        <v>16</v>
      </c>
      <c r="C18" s="30" t="s">
        <v>17</v>
      </c>
      <c r="D18" s="31" t="s">
        <v>18</v>
      </c>
      <c r="E18" s="31" t="s">
        <v>19</v>
      </c>
      <c r="F18" s="32" t="s">
        <v>20</v>
      </c>
      <c r="G18" s="8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"/>
      <c r="B19" s="33" t="s">
        <v>22</v>
      </c>
      <c r="C19" s="34">
        <f>'Project Initiation'!F3</f>
        <v>0.8684210526</v>
      </c>
      <c r="D19" s="35">
        <f>'Project Initiation'!E3</f>
        <v>0.8684210526</v>
      </c>
      <c r="E19" s="36">
        <f>'Project Initiation'!F2</f>
        <v>45927</v>
      </c>
      <c r="F19" s="37" t="str">
        <f t="shared" ref="F19:F21" si="1">IF(D19=0,"No","Yes")</f>
        <v>Yes</v>
      </c>
      <c r="G19" s="8"/>
      <c r="H19" s="2"/>
      <c r="I19" s="3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2"/>
      <c r="B20" s="33" t="s">
        <v>23</v>
      </c>
      <c r="C20" s="34">
        <f>Iteration!F3</f>
        <v>0.5862068966</v>
      </c>
      <c r="D20" s="39">
        <f>Iteration!E3</f>
        <v>0.5862068966</v>
      </c>
      <c r="E20" s="36" t="str">
        <f>Iteration!F2</f>
        <v>dd/mm/yyyy</v>
      </c>
      <c r="F20" s="37" t="str">
        <f t="shared" si="1"/>
        <v>Yes</v>
      </c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"/>
      <c r="B21" s="40" t="s">
        <v>24</v>
      </c>
      <c r="C21" s="41">
        <f>'Project Closure'!F3</f>
        <v>0</v>
      </c>
      <c r="D21" s="42">
        <f>'Project Closure'!E3</f>
        <v>0</v>
      </c>
      <c r="E21" s="43" t="str">
        <f>'Project Closure'!F2</f>
        <v>dd/mm/yyyy</v>
      </c>
      <c r="F21" s="44" t="str">
        <f t="shared" si="1"/>
        <v>No</v>
      </c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45" t="s">
        <v>25</v>
      </c>
      <c r="C23" s="46"/>
      <c r="D23" s="47"/>
      <c r="E23" s="47"/>
      <c r="F23" s="48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75" customHeight="1">
      <c r="A24" s="49"/>
      <c r="B24" s="50">
        <v>0.3</v>
      </c>
      <c r="C24" s="51" t="s">
        <v>26</v>
      </c>
      <c r="D24" s="11"/>
      <c r="E24" s="11"/>
      <c r="F24" s="1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5.75" customHeight="1">
      <c r="A25" s="49"/>
      <c r="B25" s="52">
        <v>0.7</v>
      </c>
      <c r="C25" s="51" t="s">
        <v>27</v>
      </c>
      <c r="D25" s="11"/>
      <c r="E25" s="11"/>
      <c r="F25" s="1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9.25" customHeight="1">
      <c r="A26" s="49"/>
      <c r="B26" s="53">
        <v>0.9</v>
      </c>
      <c r="C26" s="54" t="s">
        <v>28</v>
      </c>
      <c r="D26" s="26"/>
      <c r="E26" s="26"/>
      <c r="F26" s="27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49"/>
      <c r="B27" s="55"/>
      <c r="C27" s="4"/>
      <c r="D27" s="4"/>
      <c r="E27" s="4"/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49"/>
      <c r="B28" s="55"/>
      <c r="C28" s="4"/>
      <c r="D28" s="4"/>
      <c r="E28" s="4"/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56"/>
      <c r="C29" s="4"/>
      <c r="D29" s="4"/>
      <c r="E29" s="4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 t="s">
        <v>29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 t="s">
        <v>30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21">
    <mergeCell ref="B2:R2"/>
    <mergeCell ref="B3:F3"/>
    <mergeCell ref="C4:F4"/>
    <mergeCell ref="C5:F5"/>
    <mergeCell ref="C6:F6"/>
    <mergeCell ref="C7:F7"/>
    <mergeCell ref="C9:F9"/>
    <mergeCell ref="C23:F23"/>
    <mergeCell ref="C24:F24"/>
    <mergeCell ref="C25:F25"/>
    <mergeCell ref="C26:F26"/>
    <mergeCell ref="B27:F27"/>
    <mergeCell ref="B28:F28"/>
    <mergeCell ref="B29:F29"/>
    <mergeCell ref="C10:F10"/>
    <mergeCell ref="C11:F11"/>
    <mergeCell ref="C12:F12"/>
    <mergeCell ref="C13:F13"/>
    <mergeCell ref="C14:F14"/>
    <mergeCell ref="C15:F15"/>
    <mergeCell ref="C16:F16"/>
  </mergeCells>
  <printOptions/>
  <pageMargins bottom="0.75" footer="0.0" header="0.0" left="0.7" right="0.7" top="1.03125"/>
  <pageSetup fitToHeight="0" paperSize="9" orientation="landscape"/>
  <headerFooter>
    <oddHeader>&amp;L00-004&amp;CGP2022 Phase-Exit Review Checklist 09-020 09-038&lt;Project Name&gt;</oddHeader>
    <oddFooter>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A8F"/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7.25"/>
    <col customWidth="1" min="3" max="3" width="95.75"/>
    <col customWidth="1" min="4" max="5" width="14.25"/>
    <col customWidth="1" min="6" max="6" width="31.25"/>
    <col customWidth="1" min="7" max="11" width="4.38"/>
    <col customWidth="1" hidden="1" min="12" max="12" width="4.38"/>
    <col customWidth="1" min="13" max="26" width="4.38"/>
  </cols>
  <sheetData>
    <row r="1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57"/>
      <c r="C2" s="58" t="s">
        <v>31</v>
      </c>
      <c r="D2" s="58"/>
      <c r="E2" s="59" t="s">
        <v>32</v>
      </c>
      <c r="F2" s="60">
        <v>45927.0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/>
      <c r="B3" s="61" t="s">
        <v>18</v>
      </c>
      <c r="C3" s="62"/>
      <c r="D3" s="62"/>
      <c r="E3" s="63">
        <f>E24/(190-D24*10)</f>
        <v>0.8684210526</v>
      </c>
      <c r="F3" s="64">
        <f>E3</f>
        <v>0.8684210526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2"/>
      <c r="B4" s="65" t="s">
        <v>33</v>
      </c>
      <c r="C4" s="65" t="s">
        <v>34</v>
      </c>
      <c r="D4" s="66" t="s">
        <v>35</v>
      </c>
      <c r="E4" s="67" t="s">
        <v>36</v>
      </c>
      <c r="F4" s="68" t="s">
        <v>37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"/>
      <c r="B5" s="69">
        <v>1.0</v>
      </c>
      <c r="C5" s="70" t="s">
        <v>38</v>
      </c>
      <c r="D5" s="71" t="s">
        <v>39</v>
      </c>
      <c r="E5" s="72">
        <f t="shared" ref="E5:E23" si="1">IF(D5="Yes",10,IF(D5="Yes, Partially",5,IF(D5="No",0,"-")))</f>
        <v>5</v>
      </c>
      <c r="F5" s="73" t="s">
        <v>40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2"/>
      <c r="B6" s="74">
        <f t="shared" ref="B6:B18" si="2">B5+1</f>
        <v>2</v>
      </c>
      <c r="C6" s="75" t="s">
        <v>41</v>
      </c>
      <c r="D6" s="76" t="s">
        <v>39</v>
      </c>
      <c r="E6" s="72">
        <f t="shared" si="1"/>
        <v>5</v>
      </c>
      <c r="F6" s="73" t="s">
        <v>42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2"/>
      <c r="B7" s="74">
        <f t="shared" si="2"/>
        <v>3</v>
      </c>
      <c r="C7" s="75" t="s">
        <v>43</v>
      </c>
      <c r="D7" s="76" t="s">
        <v>29</v>
      </c>
      <c r="E7" s="72">
        <f t="shared" si="1"/>
        <v>10</v>
      </c>
      <c r="F7" s="73" t="s">
        <v>44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2"/>
      <c r="B8" s="74">
        <f t="shared" si="2"/>
        <v>4</v>
      </c>
      <c r="C8" s="75" t="s">
        <v>45</v>
      </c>
      <c r="D8" s="76" t="s">
        <v>30</v>
      </c>
      <c r="E8" s="72">
        <f t="shared" si="1"/>
        <v>0</v>
      </c>
      <c r="F8" s="73" t="s">
        <v>46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2"/>
      <c r="B9" s="74">
        <f t="shared" si="2"/>
        <v>5</v>
      </c>
      <c r="C9" s="75" t="s">
        <v>47</v>
      </c>
      <c r="D9" s="76" t="s">
        <v>29</v>
      </c>
      <c r="E9" s="72">
        <f t="shared" si="1"/>
        <v>10</v>
      </c>
      <c r="F9" s="73" t="s">
        <v>48</v>
      </c>
      <c r="G9" s="2"/>
      <c r="H9" s="2"/>
      <c r="I9" s="2"/>
      <c r="J9" s="2"/>
      <c r="K9" s="2"/>
      <c r="L9" s="2" t="s">
        <v>29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2"/>
      <c r="B10" s="74">
        <f t="shared" si="2"/>
        <v>6</v>
      </c>
      <c r="C10" s="75" t="s">
        <v>49</v>
      </c>
      <c r="D10" s="76" t="s">
        <v>29</v>
      </c>
      <c r="E10" s="72">
        <f t="shared" si="1"/>
        <v>10</v>
      </c>
      <c r="F10" s="73" t="s">
        <v>50</v>
      </c>
      <c r="G10" s="2"/>
      <c r="H10" s="2"/>
      <c r="I10" s="2"/>
      <c r="J10" s="2"/>
      <c r="K10" s="2"/>
      <c r="L10" s="77" t="s">
        <v>39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"/>
      <c r="B11" s="74">
        <f t="shared" si="2"/>
        <v>7</v>
      </c>
      <c r="C11" s="75" t="s">
        <v>51</v>
      </c>
      <c r="D11" s="76" t="s">
        <v>29</v>
      </c>
      <c r="E11" s="72">
        <f t="shared" si="1"/>
        <v>10</v>
      </c>
      <c r="F11" s="73"/>
      <c r="G11" s="2"/>
      <c r="H11" s="2"/>
      <c r="I11" s="2"/>
      <c r="J11" s="2"/>
      <c r="K11" s="2"/>
      <c r="L11" s="2" t="s">
        <v>30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2"/>
      <c r="B12" s="74">
        <f t="shared" si="2"/>
        <v>8</v>
      </c>
      <c r="C12" s="75" t="s">
        <v>52</v>
      </c>
      <c r="D12" s="76" t="s">
        <v>29</v>
      </c>
      <c r="E12" s="72">
        <f t="shared" si="1"/>
        <v>10</v>
      </c>
      <c r="F12" s="73"/>
      <c r="G12" s="2"/>
      <c r="H12" s="2"/>
      <c r="I12" s="2"/>
      <c r="J12" s="2"/>
      <c r="K12" s="2"/>
      <c r="L12" s="2" t="s">
        <v>53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2"/>
      <c r="B13" s="74">
        <f t="shared" si="2"/>
        <v>9</v>
      </c>
      <c r="C13" s="75" t="s">
        <v>54</v>
      </c>
      <c r="D13" s="76" t="s">
        <v>29</v>
      </c>
      <c r="E13" s="72">
        <f t="shared" si="1"/>
        <v>10</v>
      </c>
      <c r="F13" s="73" t="s">
        <v>55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"/>
      <c r="B14" s="74">
        <f t="shared" si="2"/>
        <v>10</v>
      </c>
      <c r="C14" s="75" t="s">
        <v>56</v>
      </c>
      <c r="D14" s="76" t="s">
        <v>29</v>
      </c>
      <c r="E14" s="72">
        <f t="shared" si="1"/>
        <v>10</v>
      </c>
      <c r="F14" s="73" t="s">
        <v>55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74">
        <f t="shared" si="2"/>
        <v>11</v>
      </c>
      <c r="C15" s="75" t="s">
        <v>57</v>
      </c>
      <c r="D15" s="76" t="s">
        <v>29</v>
      </c>
      <c r="E15" s="72">
        <f t="shared" si="1"/>
        <v>10</v>
      </c>
      <c r="F15" s="73" t="s">
        <v>58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74">
        <f t="shared" si="2"/>
        <v>12</v>
      </c>
      <c r="C16" s="75" t="s">
        <v>59</v>
      </c>
      <c r="D16" s="76" t="s">
        <v>29</v>
      </c>
      <c r="E16" s="72">
        <f t="shared" si="1"/>
        <v>10</v>
      </c>
      <c r="F16" s="73" t="s">
        <v>60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74">
        <f t="shared" si="2"/>
        <v>13</v>
      </c>
      <c r="C17" s="75" t="s">
        <v>61</v>
      </c>
      <c r="D17" s="76" t="s">
        <v>29</v>
      </c>
      <c r="E17" s="72">
        <f t="shared" si="1"/>
        <v>10</v>
      </c>
      <c r="F17" s="73" t="s">
        <v>48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3.0" customHeight="1">
      <c r="A18" s="2"/>
      <c r="B18" s="74">
        <f t="shared" si="2"/>
        <v>14</v>
      </c>
      <c r="C18" s="75" t="s">
        <v>62</v>
      </c>
      <c r="D18" s="76" t="s">
        <v>29</v>
      </c>
      <c r="E18" s="72">
        <f t="shared" si="1"/>
        <v>10</v>
      </c>
      <c r="F18" s="7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74">
        <v>15.0</v>
      </c>
      <c r="C19" s="75" t="s">
        <v>63</v>
      </c>
      <c r="D19" s="76" t="s">
        <v>29</v>
      </c>
      <c r="E19" s="72">
        <f t="shared" si="1"/>
        <v>10</v>
      </c>
      <c r="F19" s="7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74">
        <v>16.0</v>
      </c>
      <c r="C20" s="75" t="s">
        <v>64</v>
      </c>
      <c r="D20" s="76" t="s">
        <v>29</v>
      </c>
      <c r="E20" s="72">
        <f t="shared" si="1"/>
        <v>10</v>
      </c>
      <c r="F20" s="78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74">
        <f t="shared" ref="B21:B23" si="3">B20+1</f>
        <v>17</v>
      </c>
      <c r="C21" s="75" t="s">
        <v>65</v>
      </c>
      <c r="D21" s="76" t="s">
        <v>29</v>
      </c>
      <c r="E21" s="72">
        <f t="shared" si="1"/>
        <v>10</v>
      </c>
      <c r="F21" s="78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74">
        <f t="shared" si="3"/>
        <v>18</v>
      </c>
      <c r="C22" s="75" t="s">
        <v>66</v>
      </c>
      <c r="D22" s="76" t="s">
        <v>29</v>
      </c>
      <c r="E22" s="72">
        <f t="shared" si="1"/>
        <v>10</v>
      </c>
      <c r="F22" s="78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74">
        <f t="shared" si="3"/>
        <v>19</v>
      </c>
      <c r="C23" s="79" t="s">
        <v>67</v>
      </c>
      <c r="D23" s="80" t="s">
        <v>39</v>
      </c>
      <c r="E23" s="72">
        <f t="shared" si="1"/>
        <v>5</v>
      </c>
      <c r="F23" s="73" t="s">
        <v>68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81"/>
      <c r="C24" s="82" t="s">
        <v>69</v>
      </c>
      <c r="D24" s="83">
        <f>COUNTIF(D5:D23,"N/A")</f>
        <v>0</v>
      </c>
      <c r="E24" s="84">
        <f>SUM(E5:E23)</f>
        <v>165</v>
      </c>
      <c r="F24" s="8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</sheetData>
  <mergeCells count="1">
    <mergeCell ref="B3:D3"/>
  </mergeCells>
  <dataValidations>
    <dataValidation type="list" allowBlank="1" showErrorMessage="1" sqref="D5:D23">
      <formula1>$L$9:$L$12</formula1>
    </dataValidation>
  </dataValidations>
  <printOptions/>
  <pageMargins bottom="0.75" footer="0.0" header="0.0" left="0.7" right="0.7" top="1.03125"/>
  <pageSetup paperSize="9" scale="56" orientation="landscape"/>
  <headerFooter>
    <oddHeader>&amp;L00-004&amp;CGP2002 Phase-Exit Review Checklist 09-020 09-038&lt;Project Name&gt;</oddHeader>
    <oddFooter>&amp;R&amp;P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4.38"/>
    <col customWidth="1" min="3" max="3" width="109.25"/>
    <col customWidth="1" min="4" max="5" width="14.75"/>
    <col customWidth="1" min="6" max="6" width="49.25"/>
    <col customWidth="1" min="7" max="9" width="9.25"/>
    <col customWidth="1" hidden="1" min="10" max="11" width="9.25"/>
    <col customWidth="1" min="12" max="26" width="9.25"/>
  </cols>
  <sheetData>
    <row r="1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86"/>
      <c r="C2" s="87" t="s">
        <v>70</v>
      </c>
      <c r="D2" s="87"/>
      <c r="E2" s="88" t="s">
        <v>32</v>
      </c>
      <c r="F2" s="89" t="s">
        <v>71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/>
      <c r="B3" s="90" t="s">
        <v>18</v>
      </c>
      <c r="C3" s="62"/>
      <c r="D3" s="62"/>
      <c r="E3" s="91">
        <f>E36/(290-D36*10)</f>
        <v>0.5862068966</v>
      </c>
      <c r="F3" s="92">
        <f>E3</f>
        <v>0.5862068966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2"/>
      <c r="B4" s="65" t="s">
        <v>33</v>
      </c>
      <c r="C4" s="65" t="s">
        <v>34</v>
      </c>
      <c r="D4" s="93" t="s">
        <v>35</v>
      </c>
      <c r="E4" s="67" t="s">
        <v>36</v>
      </c>
      <c r="F4" s="68" t="s">
        <v>37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94"/>
      <c r="B5" s="95"/>
      <c r="C5" s="96" t="s">
        <v>72</v>
      </c>
      <c r="D5" s="97"/>
      <c r="E5" s="98"/>
      <c r="F5" s="99"/>
      <c r="G5" s="10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2"/>
      <c r="B6" s="101">
        <v>1.0</v>
      </c>
      <c r="C6" s="70" t="s">
        <v>73</v>
      </c>
      <c r="D6" s="102" t="s">
        <v>29</v>
      </c>
      <c r="E6" s="103">
        <f t="shared" ref="E6:E16" si="1">IF(D6="Yes",10,IF(D6="Yes, Partially",5,IF(D6="No",0,"-")))</f>
        <v>10</v>
      </c>
      <c r="F6" s="10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2"/>
      <c r="B7" s="74">
        <f t="shared" ref="B7:B16" si="2">B6+1</f>
        <v>2</v>
      </c>
      <c r="C7" s="75" t="s">
        <v>74</v>
      </c>
      <c r="D7" s="80" t="s">
        <v>29</v>
      </c>
      <c r="E7" s="72">
        <f t="shared" si="1"/>
        <v>10</v>
      </c>
      <c r="F7" s="10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2"/>
      <c r="B8" s="74">
        <f t="shared" si="2"/>
        <v>3</v>
      </c>
      <c r="C8" s="75" t="s">
        <v>63</v>
      </c>
      <c r="D8" s="80" t="s">
        <v>29</v>
      </c>
      <c r="E8" s="72">
        <f t="shared" si="1"/>
        <v>10</v>
      </c>
      <c r="F8" s="105"/>
      <c r="G8" s="2"/>
      <c r="H8" s="2"/>
      <c r="I8" s="2"/>
      <c r="J8" s="2"/>
      <c r="K8" s="2"/>
      <c r="L8" s="2" t="s">
        <v>29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2"/>
      <c r="B9" s="74">
        <f t="shared" si="2"/>
        <v>4</v>
      </c>
      <c r="C9" s="75" t="s">
        <v>75</v>
      </c>
      <c r="D9" s="80" t="s">
        <v>53</v>
      </c>
      <c r="E9" s="72" t="str">
        <f t="shared" si="1"/>
        <v>-</v>
      </c>
      <c r="F9" s="106" t="s">
        <v>76</v>
      </c>
      <c r="G9" s="2"/>
      <c r="H9" s="2"/>
      <c r="I9" s="2"/>
      <c r="J9" s="2"/>
      <c r="K9" s="2"/>
      <c r="L9" s="2" t="s">
        <v>39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2"/>
      <c r="B10" s="74">
        <f t="shared" si="2"/>
        <v>5</v>
      </c>
      <c r="C10" s="75" t="s">
        <v>77</v>
      </c>
      <c r="D10" s="80" t="s">
        <v>53</v>
      </c>
      <c r="E10" s="72" t="str">
        <f t="shared" si="1"/>
        <v>-</v>
      </c>
      <c r="F10" s="106" t="s">
        <v>78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"/>
      <c r="B11" s="74">
        <f t="shared" si="2"/>
        <v>6</v>
      </c>
      <c r="C11" s="75" t="s">
        <v>79</v>
      </c>
      <c r="D11" s="80" t="s">
        <v>53</v>
      </c>
      <c r="E11" s="72" t="str">
        <f t="shared" si="1"/>
        <v>-</v>
      </c>
      <c r="F11" s="106" t="s">
        <v>78</v>
      </c>
      <c r="G11" s="2"/>
      <c r="H11" s="2"/>
      <c r="I11" s="2"/>
      <c r="J11" s="2"/>
      <c r="K11" s="2"/>
      <c r="L11" s="2" t="s">
        <v>53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2"/>
      <c r="B12" s="74">
        <f t="shared" si="2"/>
        <v>7</v>
      </c>
      <c r="C12" s="75" t="s">
        <v>80</v>
      </c>
      <c r="D12" s="80" t="s">
        <v>53</v>
      </c>
      <c r="E12" s="72" t="str">
        <f t="shared" si="1"/>
        <v>-</v>
      </c>
      <c r="F12" s="10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2"/>
      <c r="B13" s="74">
        <f t="shared" si="2"/>
        <v>8</v>
      </c>
      <c r="C13" s="75" t="s">
        <v>81</v>
      </c>
      <c r="D13" s="80" t="s">
        <v>29</v>
      </c>
      <c r="E13" s="72">
        <f t="shared" si="1"/>
        <v>10</v>
      </c>
      <c r="F13" s="10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"/>
      <c r="B14" s="74">
        <f t="shared" si="2"/>
        <v>9</v>
      </c>
      <c r="C14" s="75" t="s">
        <v>82</v>
      </c>
      <c r="D14" s="80" t="s">
        <v>29</v>
      </c>
      <c r="E14" s="72">
        <f t="shared" si="1"/>
        <v>10</v>
      </c>
      <c r="F14" s="10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74">
        <f t="shared" si="2"/>
        <v>10</v>
      </c>
      <c r="C15" s="75" t="s">
        <v>83</v>
      </c>
      <c r="D15" s="80" t="s">
        <v>29</v>
      </c>
      <c r="E15" s="72">
        <f t="shared" si="1"/>
        <v>10</v>
      </c>
      <c r="F15" s="106" t="s">
        <v>84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107">
        <f t="shared" si="2"/>
        <v>11</v>
      </c>
      <c r="C16" s="108" t="s">
        <v>85</v>
      </c>
      <c r="D16" s="109" t="s">
        <v>53</v>
      </c>
      <c r="E16" s="110" t="str">
        <f t="shared" si="1"/>
        <v>-</v>
      </c>
      <c r="F16" s="111" t="s">
        <v>78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94"/>
      <c r="B17" s="95"/>
      <c r="C17" s="96" t="s">
        <v>72</v>
      </c>
      <c r="D17" s="98"/>
      <c r="E17" s="98"/>
      <c r="F17" s="112"/>
      <c r="G17" s="10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113">
        <v>12.0</v>
      </c>
      <c r="C18" s="70" t="s">
        <v>86</v>
      </c>
      <c r="D18" s="102" t="s">
        <v>29</v>
      </c>
      <c r="E18" s="114">
        <f t="shared" ref="E18:E35" si="3">IF(D18="Yes",10,IF(D18="Yes, Partially",5,IF(D18="No",0,"-")))</f>
        <v>10</v>
      </c>
      <c r="F18" s="115" t="s">
        <v>87</v>
      </c>
      <c r="G18" s="2"/>
      <c r="H18" s="2"/>
      <c r="I18" s="2"/>
      <c r="J18" s="2"/>
      <c r="K18" s="2" t="s">
        <v>29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101">
        <f t="shared" ref="B19:B35" si="4">B18+1</f>
        <v>13</v>
      </c>
      <c r="C19" s="116" t="s">
        <v>88</v>
      </c>
      <c r="D19" s="80" t="s">
        <v>29</v>
      </c>
      <c r="E19" s="72">
        <f t="shared" si="3"/>
        <v>10</v>
      </c>
      <c r="F19" s="106" t="s">
        <v>89</v>
      </c>
      <c r="G19" s="2"/>
      <c r="H19" s="2"/>
      <c r="I19" s="2"/>
      <c r="J19" s="2"/>
      <c r="K19" s="2" t="s">
        <v>39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74">
        <f t="shared" si="4"/>
        <v>14</v>
      </c>
      <c r="C20" s="116" t="s">
        <v>90</v>
      </c>
      <c r="D20" s="80" t="s">
        <v>30</v>
      </c>
      <c r="E20" s="72">
        <f t="shared" si="3"/>
        <v>0</v>
      </c>
      <c r="F20" s="106" t="s">
        <v>91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74">
        <f t="shared" si="4"/>
        <v>15</v>
      </c>
      <c r="C21" s="116" t="s">
        <v>92</v>
      </c>
      <c r="D21" s="80" t="s">
        <v>29</v>
      </c>
      <c r="E21" s="72">
        <f t="shared" si="3"/>
        <v>10</v>
      </c>
      <c r="F21" s="105" t="s">
        <v>93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74">
        <f t="shared" si="4"/>
        <v>16</v>
      </c>
      <c r="C22" s="117" t="s">
        <v>94</v>
      </c>
      <c r="D22" s="80" t="s">
        <v>30</v>
      </c>
      <c r="E22" s="72">
        <f t="shared" si="3"/>
        <v>0</v>
      </c>
      <c r="F22" s="106" t="s">
        <v>95</v>
      </c>
      <c r="G22" s="2"/>
      <c r="H22" s="2"/>
      <c r="I22" s="2"/>
      <c r="J22" s="2"/>
      <c r="K22" s="2" t="s">
        <v>30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74">
        <f t="shared" si="4"/>
        <v>17</v>
      </c>
      <c r="C23" s="117" t="s">
        <v>96</v>
      </c>
      <c r="D23" s="80" t="s">
        <v>30</v>
      </c>
      <c r="E23" s="72">
        <f t="shared" si="3"/>
        <v>0</v>
      </c>
      <c r="F23" s="106" t="s">
        <v>97</v>
      </c>
      <c r="G23" s="2"/>
      <c r="H23" s="2"/>
      <c r="I23" s="2"/>
      <c r="J23" s="2"/>
      <c r="K23" s="2" t="s">
        <v>53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74">
        <f t="shared" si="4"/>
        <v>18</v>
      </c>
      <c r="C24" s="117" t="s">
        <v>98</v>
      </c>
      <c r="D24" s="80" t="s">
        <v>30</v>
      </c>
      <c r="E24" s="72">
        <f t="shared" si="3"/>
        <v>0</v>
      </c>
      <c r="F24" s="106" t="s">
        <v>99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74">
        <f t="shared" si="4"/>
        <v>19</v>
      </c>
      <c r="C25" s="117" t="s">
        <v>100</v>
      </c>
      <c r="D25" s="80" t="s">
        <v>30</v>
      </c>
      <c r="E25" s="72">
        <f t="shared" si="3"/>
        <v>0</v>
      </c>
      <c r="F25" s="106" t="s">
        <v>101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74">
        <f t="shared" si="4"/>
        <v>20</v>
      </c>
      <c r="C26" s="116" t="s">
        <v>102</v>
      </c>
      <c r="D26" s="80" t="s">
        <v>29</v>
      </c>
      <c r="E26" s="72">
        <f t="shared" si="3"/>
        <v>10</v>
      </c>
      <c r="F26" s="106" t="s">
        <v>103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74">
        <f t="shared" si="4"/>
        <v>21</v>
      </c>
      <c r="C27" s="117" t="s">
        <v>104</v>
      </c>
      <c r="D27" s="80" t="s">
        <v>29</v>
      </c>
      <c r="E27" s="72">
        <f t="shared" si="3"/>
        <v>10</v>
      </c>
      <c r="F27" s="106" t="s">
        <v>105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74">
        <f t="shared" si="4"/>
        <v>22</v>
      </c>
      <c r="C28" s="117" t="s">
        <v>106</v>
      </c>
      <c r="D28" s="80" t="s">
        <v>29</v>
      </c>
      <c r="E28" s="72">
        <f t="shared" si="3"/>
        <v>10</v>
      </c>
      <c r="F28" s="106" t="s">
        <v>107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74">
        <f t="shared" si="4"/>
        <v>23</v>
      </c>
      <c r="C29" s="117" t="s">
        <v>108</v>
      </c>
      <c r="D29" s="80" t="s">
        <v>29</v>
      </c>
      <c r="E29" s="72">
        <f t="shared" si="3"/>
        <v>10</v>
      </c>
      <c r="F29" s="106" t="s">
        <v>109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74">
        <f t="shared" si="4"/>
        <v>24</v>
      </c>
      <c r="C30" s="117" t="s">
        <v>110</v>
      </c>
      <c r="D30" s="80" t="s">
        <v>39</v>
      </c>
      <c r="E30" s="72">
        <f t="shared" si="3"/>
        <v>5</v>
      </c>
      <c r="F30" s="106" t="s">
        <v>111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74">
        <f t="shared" si="4"/>
        <v>25</v>
      </c>
      <c r="C31" s="117" t="s">
        <v>112</v>
      </c>
      <c r="D31" s="80" t="s">
        <v>30</v>
      </c>
      <c r="E31" s="72">
        <f t="shared" si="3"/>
        <v>0</v>
      </c>
      <c r="F31" s="106" t="s">
        <v>113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74">
        <f t="shared" si="4"/>
        <v>26</v>
      </c>
      <c r="C32" s="117" t="s">
        <v>114</v>
      </c>
      <c r="D32" s="80" t="s">
        <v>29</v>
      </c>
      <c r="E32" s="72">
        <f t="shared" si="3"/>
        <v>10</v>
      </c>
      <c r="F32" s="10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74">
        <f t="shared" si="4"/>
        <v>27</v>
      </c>
      <c r="C33" s="117" t="s">
        <v>115</v>
      </c>
      <c r="D33" s="80" t="s">
        <v>29</v>
      </c>
      <c r="E33" s="72">
        <f t="shared" si="3"/>
        <v>10</v>
      </c>
      <c r="F33" s="10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74">
        <f t="shared" si="4"/>
        <v>28</v>
      </c>
      <c r="C34" s="75" t="s">
        <v>116</v>
      </c>
      <c r="D34" s="80" t="s">
        <v>29</v>
      </c>
      <c r="E34" s="72">
        <f t="shared" si="3"/>
        <v>10</v>
      </c>
      <c r="F34" s="106" t="s">
        <v>117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2"/>
      <c r="B35" s="74">
        <f t="shared" si="4"/>
        <v>29</v>
      </c>
      <c r="C35" s="79" t="s">
        <v>118</v>
      </c>
      <c r="D35" s="118" t="s">
        <v>39</v>
      </c>
      <c r="E35" s="119">
        <f t="shared" si="3"/>
        <v>5</v>
      </c>
      <c r="F35" s="111" t="s">
        <v>119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2"/>
      <c r="B36" s="120"/>
      <c r="C36" s="121" t="s">
        <v>69</v>
      </c>
      <c r="D36" s="122">
        <f>COUNTIF(D18:D35,"N/A")</f>
        <v>0</v>
      </c>
      <c r="E36" s="122">
        <f>SUM(E6:E35)</f>
        <v>170</v>
      </c>
      <c r="F36" s="12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2"/>
      <c r="B37" s="12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12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12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12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12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12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12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12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12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12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12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12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12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12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12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12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12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12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12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12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12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12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12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12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12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12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12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12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12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12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12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12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12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12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12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12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12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12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12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12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12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12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12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12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12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12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12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12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12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12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12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12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12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12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12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12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12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12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12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12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12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12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12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12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12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12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12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12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12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12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12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12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12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12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12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12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12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12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12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12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12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12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12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12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12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12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12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12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12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12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12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12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12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12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12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12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12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12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12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12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12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12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12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12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12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12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12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12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12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12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12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12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12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12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12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12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12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12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12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12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12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12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12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12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12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12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12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12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12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12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12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12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12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12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12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12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12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12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12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12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12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12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12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12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12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12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12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12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12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12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12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12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12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12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12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12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12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12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12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12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12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12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12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12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12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12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12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12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12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12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12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12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12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12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12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12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12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12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12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12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12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12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12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12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12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12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12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12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12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12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12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12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12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12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12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12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12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12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12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12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12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12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12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12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12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12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12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12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12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12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12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12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12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12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12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12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12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12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12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12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12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12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12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12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12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12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12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12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12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12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12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12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12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12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12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12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12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12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12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12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12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12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12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12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12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12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12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12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12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12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12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12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12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12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12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12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12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12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12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12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12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12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12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12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12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12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12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12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12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12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12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12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12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12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12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12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12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12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12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12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12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12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12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12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12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12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12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12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12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12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12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12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12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12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12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12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12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12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12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12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12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12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12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12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12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12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12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12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12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12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12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12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12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12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12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12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12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12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12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12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12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12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12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12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12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12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12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12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12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12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12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12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12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12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12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12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12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12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12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12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12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12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12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12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12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12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12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12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12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12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12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12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12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12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12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12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12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12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12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12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12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12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12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12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12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12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12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12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12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12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12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12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12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12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12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12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12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12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12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12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12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12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12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12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12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12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12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12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12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12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12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12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12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12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12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12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12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12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12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12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12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12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12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12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12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12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12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12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12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12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12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12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12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12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12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12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12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12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12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12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12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12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12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12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12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12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12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12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12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12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12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12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12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12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12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12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12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12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12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12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12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12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12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12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12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12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12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12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12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12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12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12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12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12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12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12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12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12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12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12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12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12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12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12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12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12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12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12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12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12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12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12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12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12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12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12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12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12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12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12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12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12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12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12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12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12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12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12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12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12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12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12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12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12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12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12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12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12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12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12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12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12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12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12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12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12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12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12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12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12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12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12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12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12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12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12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12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12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12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12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12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12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12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12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12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12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12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12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12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12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12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12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12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12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12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12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12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12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12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12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12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12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12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12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12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12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12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12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12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12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12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12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12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12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12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12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12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12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12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12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12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12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12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12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12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12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12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12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12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12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12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12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12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12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12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12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12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12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12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12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12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12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12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12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12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12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12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12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12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12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12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12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12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12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12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12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12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12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12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12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12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12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12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12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12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12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12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12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12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12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12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12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12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12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12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12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12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12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12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12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12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12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12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12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12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12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12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12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12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12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12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12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12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12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12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12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12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12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12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12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12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12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12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12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12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12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12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12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12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12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12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12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12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12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12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12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12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12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12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12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12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12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12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12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12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12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12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12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12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12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12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12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12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12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12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12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12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12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12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12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12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12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12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12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12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12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12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12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12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12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12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12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12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12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12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12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12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12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12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12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12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12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12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12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12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12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12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12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12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12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12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12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12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12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12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12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12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12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12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12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12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12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12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12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12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12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12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12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12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12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12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12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12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12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12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12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12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12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12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12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12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12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12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12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12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12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12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12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12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12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12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12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12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12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12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12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12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12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12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12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12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12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12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12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12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12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12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12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12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12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12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12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12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12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12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12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12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12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12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12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12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12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12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12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12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12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12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12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12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12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12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12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12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12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12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12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12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12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12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12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12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12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12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12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12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12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12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12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12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12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12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12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12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12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12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12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12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12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12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12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12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12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12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12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12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12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12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12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12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12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12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12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12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12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12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12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12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12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12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12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12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12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12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12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12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12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12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12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12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12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12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12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12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12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12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12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12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12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12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12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12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12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12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12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12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12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12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12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12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12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12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12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12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12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12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12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12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12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12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12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12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12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12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12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12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12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12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12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12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12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12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12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12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12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12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12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12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12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12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12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12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12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12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12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12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12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12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12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12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12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12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12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12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12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12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12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12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12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12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12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12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12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12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12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12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12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12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12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12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12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12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12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12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12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12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12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12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12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12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12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12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12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12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12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12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12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12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12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12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12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12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12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12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12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12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12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12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12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12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12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12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12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12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124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3.5" customHeight="1">
      <c r="A1001" s="2"/>
      <c r="B1001" s="124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3.5" customHeight="1">
      <c r="A1002" s="2"/>
      <c r="B1002" s="124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3.5" customHeight="1">
      <c r="A1003" s="2"/>
      <c r="B1003" s="124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3.5" customHeight="1">
      <c r="A1004" s="2"/>
      <c r="B1004" s="124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3.5" customHeight="1">
      <c r="A1005" s="2"/>
      <c r="B1005" s="124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3.5" customHeight="1">
      <c r="A1006" s="2"/>
      <c r="B1006" s="124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3.5" customHeight="1">
      <c r="A1007" s="2"/>
      <c r="B1007" s="124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3.5" customHeight="1">
      <c r="A1008" s="2"/>
      <c r="B1008" s="124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3.5" customHeight="1">
      <c r="A1009" s="2"/>
      <c r="B1009" s="124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3.5" customHeight="1">
      <c r="A1010" s="2"/>
      <c r="B1010" s="124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3.5" customHeight="1">
      <c r="A1011" s="2"/>
      <c r="B1011" s="124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3.5" customHeight="1">
      <c r="A1012" s="2"/>
      <c r="B1012" s="124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1">
    <mergeCell ref="B3:D3"/>
  </mergeCells>
  <dataValidations>
    <dataValidation type="list" allowBlank="1" showErrorMessage="1" sqref="D17:D35">
      <formula1>$K$18:$K$23</formula1>
    </dataValidation>
    <dataValidation type="list" allowBlank="1" showErrorMessage="1" sqref="D6:D16">
      <formula1>$L$8:$L$11</formula1>
    </dataValidation>
  </dataValidations>
  <printOptions/>
  <pageMargins bottom="0.75" footer="0.0" header="0.0" left="0.7" right="0.7" top="1.03125"/>
  <pageSetup paperSize="9" scale="56" orientation="landscape"/>
  <headerFooter>
    <oddHeader>&amp;L00+000&amp;CGP2022 Phase-Exit Review Checklist 09-015 09-033&lt;Project Name&gt;</oddHeader>
    <oddFooter>&amp;R&amp;P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4.38"/>
    <col customWidth="1" min="3" max="3" width="100.25"/>
    <col customWidth="1" min="4" max="5" width="14.75"/>
    <col customWidth="1" min="6" max="6" width="49.25"/>
    <col customWidth="1" min="7" max="9" width="9.25"/>
    <col customWidth="1" hidden="1" min="10" max="11" width="9.25"/>
    <col customWidth="1" min="12" max="26" width="9.25"/>
  </cols>
  <sheetData>
    <row r="1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125"/>
      <c r="C2" s="126" t="s">
        <v>120</v>
      </c>
      <c r="D2" s="126"/>
      <c r="E2" s="127" t="s">
        <v>32</v>
      </c>
      <c r="F2" s="89" t="s">
        <v>71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/>
      <c r="B3" s="128" t="s">
        <v>18</v>
      </c>
      <c r="C3" s="62"/>
      <c r="D3" s="62"/>
      <c r="E3" s="129">
        <f>E20/(150-D20*10)</f>
        <v>0</v>
      </c>
      <c r="F3" s="130">
        <f>E3</f>
        <v>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2"/>
      <c r="B4" s="65" t="s">
        <v>33</v>
      </c>
      <c r="C4" s="65" t="s">
        <v>34</v>
      </c>
      <c r="D4" s="66" t="s">
        <v>35</v>
      </c>
      <c r="E4" s="67" t="s">
        <v>36</v>
      </c>
      <c r="F4" s="68" t="s">
        <v>37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2"/>
      <c r="B5" s="74">
        <v>1.0</v>
      </c>
      <c r="C5" s="131" t="s">
        <v>121</v>
      </c>
      <c r="D5" s="114" t="s">
        <v>30</v>
      </c>
      <c r="E5" s="72">
        <f t="shared" ref="E5:E19" si="1">IF(D5="Yes",10,IF(D5="Yes, Partially",5,IF(D5="No",0,"-")))</f>
        <v>0</v>
      </c>
      <c r="F5" s="78" t="s">
        <v>122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2"/>
      <c r="B6" s="74">
        <f t="shared" ref="B6:B7" si="2">+B5+1</f>
        <v>2</v>
      </c>
      <c r="C6" s="75" t="s">
        <v>123</v>
      </c>
      <c r="D6" s="132" t="s">
        <v>30</v>
      </c>
      <c r="E6" s="72">
        <f t="shared" si="1"/>
        <v>0</v>
      </c>
      <c r="F6" s="13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2"/>
      <c r="B7" s="74">
        <f t="shared" si="2"/>
        <v>3</v>
      </c>
      <c r="C7" s="75" t="s">
        <v>124</v>
      </c>
      <c r="D7" s="132" t="s">
        <v>30</v>
      </c>
      <c r="E7" s="72">
        <f t="shared" si="1"/>
        <v>0</v>
      </c>
      <c r="F7" s="13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2"/>
      <c r="B8" s="74">
        <f t="shared" ref="B8:B19" si="3">B7+1</f>
        <v>4</v>
      </c>
      <c r="C8" s="75" t="s">
        <v>125</v>
      </c>
      <c r="D8" s="132" t="s">
        <v>30</v>
      </c>
      <c r="E8" s="72">
        <f t="shared" si="1"/>
        <v>0</v>
      </c>
      <c r="F8" s="134"/>
      <c r="G8" s="2"/>
      <c r="H8" s="2"/>
      <c r="I8" s="2"/>
      <c r="J8" s="2"/>
      <c r="K8" s="2" t="s">
        <v>29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2"/>
      <c r="B9" s="74">
        <f t="shared" si="3"/>
        <v>5</v>
      </c>
      <c r="C9" s="75" t="s">
        <v>126</v>
      </c>
      <c r="D9" s="132" t="s">
        <v>30</v>
      </c>
      <c r="E9" s="72">
        <f t="shared" si="1"/>
        <v>0</v>
      </c>
      <c r="F9" s="134"/>
      <c r="G9" s="2"/>
      <c r="H9" s="2"/>
      <c r="I9" s="2"/>
      <c r="J9" s="2"/>
      <c r="K9" s="2" t="s">
        <v>39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2"/>
      <c r="B10" s="74">
        <f t="shared" si="3"/>
        <v>6</v>
      </c>
      <c r="C10" s="75" t="s">
        <v>127</v>
      </c>
      <c r="D10" s="132" t="s">
        <v>30</v>
      </c>
      <c r="E10" s="72">
        <f t="shared" si="1"/>
        <v>0</v>
      </c>
      <c r="F10" s="134"/>
      <c r="G10" s="2"/>
      <c r="H10" s="2"/>
      <c r="I10" s="2"/>
      <c r="J10" s="2"/>
      <c r="K10" s="2" t="s">
        <v>30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"/>
      <c r="B11" s="74">
        <f t="shared" si="3"/>
        <v>7</v>
      </c>
      <c r="C11" s="75" t="s">
        <v>128</v>
      </c>
      <c r="D11" s="132" t="s">
        <v>30</v>
      </c>
      <c r="E11" s="72">
        <f t="shared" si="1"/>
        <v>0</v>
      </c>
      <c r="F11" s="134"/>
      <c r="G11" s="2"/>
      <c r="H11" s="2"/>
      <c r="I11" s="2"/>
      <c r="J11" s="2"/>
      <c r="K11" s="2" t="s">
        <v>53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2"/>
      <c r="B12" s="74">
        <f t="shared" si="3"/>
        <v>8</v>
      </c>
      <c r="C12" s="75" t="s">
        <v>129</v>
      </c>
      <c r="D12" s="132" t="s">
        <v>30</v>
      </c>
      <c r="E12" s="72">
        <f t="shared" si="1"/>
        <v>0</v>
      </c>
      <c r="F12" s="13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2"/>
      <c r="B13" s="74">
        <f t="shared" si="3"/>
        <v>9</v>
      </c>
      <c r="C13" s="75" t="s">
        <v>130</v>
      </c>
      <c r="D13" s="132" t="s">
        <v>30</v>
      </c>
      <c r="E13" s="72">
        <f t="shared" si="1"/>
        <v>0</v>
      </c>
      <c r="F13" s="13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"/>
      <c r="B14" s="74">
        <f t="shared" si="3"/>
        <v>10</v>
      </c>
      <c r="C14" s="75" t="s">
        <v>131</v>
      </c>
      <c r="D14" s="132" t="s">
        <v>30</v>
      </c>
      <c r="E14" s="72">
        <f t="shared" si="1"/>
        <v>0</v>
      </c>
      <c r="F14" s="13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74">
        <f t="shared" si="3"/>
        <v>11</v>
      </c>
      <c r="C15" s="75" t="s">
        <v>132</v>
      </c>
      <c r="D15" s="132" t="s">
        <v>30</v>
      </c>
      <c r="E15" s="72">
        <f t="shared" si="1"/>
        <v>0</v>
      </c>
      <c r="F15" s="13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74">
        <f t="shared" si="3"/>
        <v>12</v>
      </c>
      <c r="C16" s="75" t="s">
        <v>133</v>
      </c>
      <c r="D16" s="132" t="s">
        <v>30</v>
      </c>
      <c r="E16" s="72">
        <f t="shared" si="1"/>
        <v>0</v>
      </c>
      <c r="F16" s="13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74">
        <f t="shared" si="3"/>
        <v>13</v>
      </c>
      <c r="C17" s="75" t="s">
        <v>134</v>
      </c>
      <c r="D17" s="132" t="s">
        <v>30</v>
      </c>
      <c r="E17" s="72">
        <f t="shared" si="1"/>
        <v>0</v>
      </c>
      <c r="F17" s="13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74">
        <f t="shared" si="3"/>
        <v>14</v>
      </c>
      <c r="C18" s="135" t="s">
        <v>135</v>
      </c>
      <c r="D18" s="132" t="s">
        <v>30</v>
      </c>
      <c r="E18" s="72">
        <f t="shared" si="1"/>
        <v>0</v>
      </c>
      <c r="F18" s="13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74">
        <f t="shared" si="3"/>
        <v>15</v>
      </c>
      <c r="C19" s="135" t="s">
        <v>136</v>
      </c>
      <c r="D19" s="136" t="s">
        <v>30</v>
      </c>
      <c r="E19" s="72">
        <f t="shared" si="1"/>
        <v>0</v>
      </c>
      <c r="F19" s="13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137"/>
      <c r="C20" s="138" t="s">
        <v>69</v>
      </c>
      <c r="D20" s="139">
        <f>COUNTIF(D5:D19,"N/A")</f>
        <v>0</v>
      </c>
      <c r="E20" s="139">
        <f>SUM(E5:E19)</f>
        <v>0</v>
      </c>
      <c r="F20" s="14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141"/>
      <c r="C21" s="142"/>
      <c r="D21" s="143"/>
      <c r="E21" s="141"/>
      <c r="F21" s="14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145"/>
      <c r="C22" s="146"/>
      <c r="D22" s="147"/>
      <c r="E22" s="145"/>
      <c r="F22" s="148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145"/>
      <c r="C23" s="146"/>
      <c r="D23" s="147"/>
      <c r="E23" s="145"/>
      <c r="F23" s="148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145"/>
      <c r="C24" s="146"/>
      <c r="D24" s="147"/>
      <c r="E24" s="145"/>
      <c r="F24" s="14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145"/>
      <c r="C25" s="146"/>
      <c r="D25" s="147"/>
      <c r="E25" s="145"/>
      <c r="F25" s="148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145"/>
      <c r="C26" s="146"/>
      <c r="D26" s="147"/>
      <c r="E26" s="145"/>
      <c r="F26" s="148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>
      <c r="A27" s="2"/>
      <c r="B27" s="145"/>
      <c r="C27" s="2"/>
      <c r="D27" s="147"/>
      <c r="E27" s="145"/>
      <c r="F27" s="148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145"/>
      <c r="C28" s="146"/>
      <c r="D28" s="147"/>
      <c r="E28" s="145"/>
      <c r="F28" s="148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145"/>
      <c r="C29" s="146"/>
      <c r="D29" s="147"/>
      <c r="E29" s="145"/>
      <c r="F29" s="148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145"/>
      <c r="C30" s="146"/>
      <c r="D30" s="147"/>
      <c r="E30" s="145"/>
      <c r="F30" s="148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145"/>
      <c r="C31" s="146"/>
      <c r="D31" s="147"/>
      <c r="E31" s="145"/>
      <c r="F31" s="148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145"/>
      <c r="C32" s="2"/>
      <c r="D32" s="147"/>
      <c r="E32" s="145"/>
      <c r="F32" s="1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145"/>
      <c r="C33" s="148"/>
      <c r="D33" s="147"/>
      <c r="E33" s="145"/>
      <c r="F33" s="148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145"/>
      <c r="C34" s="148"/>
      <c r="D34" s="147"/>
      <c r="E34" s="145"/>
      <c r="F34" s="148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145"/>
      <c r="C35" s="148"/>
      <c r="D35" s="147"/>
      <c r="E35" s="145"/>
      <c r="F35" s="148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145"/>
      <c r="C36" s="148"/>
      <c r="D36" s="147"/>
      <c r="E36" s="145"/>
      <c r="F36" s="14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145"/>
      <c r="C37" s="148"/>
      <c r="D37" s="147"/>
      <c r="E37" s="145"/>
      <c r="F37" s="14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145"/>
      <c r="C38" s="2"/>
      <c r="D38" s="147"/>
      <c r="E38" s="145"/>
      <c r="F38" s="148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149"/>
      <c r="C39" s="149"/>
      <c r="D39" s="149"/>
      <c r="E39" s="149"/>
      <c r="F39" s="14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149"/>
      <c r="C40" s="149"/>
      <c r="D40" s="149"/>
      <c r="E40" s="149"/>
      <c r="F40" s="149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145"/>
      <c r="C41" s="148"/>
      <c r="D41" s="147"/>
      <c r="E41" s="145"/>
      <c r="F41" s="14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145"/>
      <c r="C42" s="148"/>
      <c r="D42" s="147"/>
      <c r="E42" s="145"/>
      <c r="F42" s="14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145"/>
      <c r="C43" s="148"/>
      <c r="D43" s="147"/>
      <c r="E43" s="145"/>
      <c r="F43" s="1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145"/>
      <c r="C44" s="148"/>
      <c r="D44" s="147"/>
      <c r="E44" s="145"/>
      <c r="F44" s="1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145"/>
      <c r="C45" s="148"/>
      <c r="D45" s="147"/>
      <c r="E45" s="145"/>
      <c r="F45" s="1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145"/>
      <c r="C46" s="148"/>
      <c r="D46" s="147"/>
      <c r="E46" s="145"/>
      <c r="F46" s="1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145"/>
      <c r="C47" s="148"/>
      <c r="D47" s="147"/>
      <c r="E47" s="145"/>
      <c r="F47" s="1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145"/>
      <c r="C48" s="148"/>
      <c r="D48" s="147"/>
      <c r="E48" s="145"/>
      <c r="F48" s="14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149"/>
      <c r="C49" s="149"/>
      <c r="D49" s="149"/>
      <c r="E49" s="149"/>
      <c r="F49" s="149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149"/>
      <c r="C50" s="149"/>
      <c r="D50" s="149"/>
      <c r="E50" s="149"/>
      <c r="F50" s="149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145"/>
      <c r="C51" s="146"/>
      <c r="D51" s="147"/>
      <c r="E51" s="147"/>
      <c r="F51" s="14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145"/>
      <c r="C52" s="146"/>
      <c r="D52" s="147"/>
      <c r="E52" s="147"/>
      <c r="F52" s="14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145"/>
      <c r="C53" s="146"/>
      <c r="D53" s="147"/>
      <c r="E53" s="147"/>
      <c r="F53" s="14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145"/>
      <c r="C54" s="2"/>
      <c r="D54" s="147"/>
      <c r="E54" s="147"/>
      <c r="F54" s="14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145"/>
      <c r="C55" s="146"/>
      <c r="D55" s="147"/>
      <c r="E55" s="147"/>
      <c r="F55" s="14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145"/>
      <c r="C56" s="2"/>
      <c r="D56" s="147"/>
      <c r="E56" s="147"/>
      <c r="F56" s="14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145"/>
      <c r="C57" s="148"/>
      <c r="D57" s="147"/>
      <c r="E57" s="147"/>
      <c r="F57" s="14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145"/>
      <c r="C58" s="148"/>
      <c r="D58" s="147"/>
      <c r="E58" s="147"/>
      <c r="F58" s="14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145"/>
      <c r="C59" s="2"/>
      <c r="D59" s="147"/>
      <c r="E59" s="147"/>
      <c r="F59" s="14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145"/>
      <c r="C60" s="146"/>
      <c r="D60" s="147"/>
      <c r="E60" s="147"/>
      <c r="F60" s="14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145"/>
      <c r="C61" s="148"/>
      <c r="D61" s="147"/>
      <c r="E61" s="147"/>
      <c r="F61" s="14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150"/>
      <c r="C62" s="151"/>
      <c r="D62" s="150"/>
      <c r="E62" s="150"/>
      <c r="F62" s="150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12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12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12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12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12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12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12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12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12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12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12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12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12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12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12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12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12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12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12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12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12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12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12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12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12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12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12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12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12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12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12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12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12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12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12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12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12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12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12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12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12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12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12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12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12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12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12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12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12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12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12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12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12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12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12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12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12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12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12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12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12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12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12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12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12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12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12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12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12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12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12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12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12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12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12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12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12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12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12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12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12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12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12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12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12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12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12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12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12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12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12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12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12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12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12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12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12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12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12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12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12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12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12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12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12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12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12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12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12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12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12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12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12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12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12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12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12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12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12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12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12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12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12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12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12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12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12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12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12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12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12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12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12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12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12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12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12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12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12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12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12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12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12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12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12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12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12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12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12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12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12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12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12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12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12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12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12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12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12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12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12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12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12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12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12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12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12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12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12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12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12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12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12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12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12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12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12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12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12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12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12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12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12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12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12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12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12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12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12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12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12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12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12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12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12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12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12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12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12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12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12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12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12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12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12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12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12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12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12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12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12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12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12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12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12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12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12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12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12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12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12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12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12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12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12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12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12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12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12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12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12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12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12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12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12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12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12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12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12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12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12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12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12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12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12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12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12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12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12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12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12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12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12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12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12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12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12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12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12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12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12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12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12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12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12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12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12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12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12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12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12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12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12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12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12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12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12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12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12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12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12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12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12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12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12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12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12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12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12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12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12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12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12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12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12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12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12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12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12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12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12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12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12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12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12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12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12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12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12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12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12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12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12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12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12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12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12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12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12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12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12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12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12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12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12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12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12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12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12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12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12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12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12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12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12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12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12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12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12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12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12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12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12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12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12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12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12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12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12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12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12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12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12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12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12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12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12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12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12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12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12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12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12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12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12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12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12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12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12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12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12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12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12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12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12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12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12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12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12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12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12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12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12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12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12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12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12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12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12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12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12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12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12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12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12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12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12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12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12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12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12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12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12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12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12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12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12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12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12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12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12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12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12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12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12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12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12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12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12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12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12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12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12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12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12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12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12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12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12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12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12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12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12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12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12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12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12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12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12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12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12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12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12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12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12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12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12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12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12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12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12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12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12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12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12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12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12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12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12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12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12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12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12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12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12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12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12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12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12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12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12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12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12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12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12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12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12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12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12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12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12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12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12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12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12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12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12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12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12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12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12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12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12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12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12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12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12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12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12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12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12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12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12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12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12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12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12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12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12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12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12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12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12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12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12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12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12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12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12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12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12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12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12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12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12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12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12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12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12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12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12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12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12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12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12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12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12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12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12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12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12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12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12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12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12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12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12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12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12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12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12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12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12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12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12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12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12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12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12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12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12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12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12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12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12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12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12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12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12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12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12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12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12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12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12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12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12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12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12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12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12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12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12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12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12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12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12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12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12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12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12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12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12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12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12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12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12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12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12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12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12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12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12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12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12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12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12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12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12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12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12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12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12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12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12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12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12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12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12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12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12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12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12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12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12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12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12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12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12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12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12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12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12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12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12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12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12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12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12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12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12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12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12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12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12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12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12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12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12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12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12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12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12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12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12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12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12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12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12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12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12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12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12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12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12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12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12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12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12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12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12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12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12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12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12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12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12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12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12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12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12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12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12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12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12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12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12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12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12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12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12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12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12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12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12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12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12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12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12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12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12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12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12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12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12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12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12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12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12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12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12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12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12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12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12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12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12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12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12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12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12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12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12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12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12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12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12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12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12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12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12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12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12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12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12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12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12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12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12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12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12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12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12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12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12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12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12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12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12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12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12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12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12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12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12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12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12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12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12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12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12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12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12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12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12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12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12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12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12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12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12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12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12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12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12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12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12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12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12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12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12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12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12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12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12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12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12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12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12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12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12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12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12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12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12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12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12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12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12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12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12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12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12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12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12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12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12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12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12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12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12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12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12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12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12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12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12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12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12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12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12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12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12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12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12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12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12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12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12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12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12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12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12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12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12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12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12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12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12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12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12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12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12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12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12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12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12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12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12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12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12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12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12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12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12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12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12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12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12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12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12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12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12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12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12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12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12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12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12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12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12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12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12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12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12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12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12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12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12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12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12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12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12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12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12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12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12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12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12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12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12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12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12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12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12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12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12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12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12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12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12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12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12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12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12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12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12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12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12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12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12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12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12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12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12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12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12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12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12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12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12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12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12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12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12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12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12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12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12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12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12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12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12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12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12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12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12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124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3:D3"/>
  </mergeCells>
  <dataValidations>
    <dataValidation type="list" allowBlank="1" showErrorMessage="1" sqref="D5:D19">
      <formula1>$K$8:$K$11</formula1>
    </dataValidation>
    <dataValidation type="list" allowBlank="1" showErrorMessage="1" sqref="D21:D38 D41:D48 D51:D61">
      <formula1>$K$8:$K$10</formula1>
    </dataValidation>
    <dataValidation type="list" allowBlank="1" showErrorMessage="1" sqref="D62">
      <formula1>$L$8:$L$10</formula1>
    </dataValidation>
  </dataValidations>
  <printOptions/>
  <pageMargins bottom="0.75" footer="0.0" header="0.0" left="0.7" right="0.7" top="1.03125"/>
  <pageSetup paperSize="9" scale="56" orientation="landscape"/>
  <headerFooter>
    <oddHeader>&amp;L00-004&amp;CGP2022 Phase-Exit Review Checklist 09-020 09-038&lt;Project Name&gt;</oddHeader>
    <oddFooter>&amp;R&amp;P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2007-09-24T08:19:53Z</dcterms:created>
  <dc:creator>Elisabet Duocastella i Pla</dc:creator>
</cp:coreProperties>
</file>