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4"/>
    <sheet state="visible" name="Project Initiation" sheetId="2" r:id="rId5"/>
    <sheet state="visible" name="Iteration" sheetId="3" r:id="rId6"/>
    <sheet state="visible" name="Project Closure" sheetId="4" r:id="rId7"/>
  </sheets>
  <definedNames/>
  <calcPr/>
  <extLst>
    <ext uri="GoogleSheetsCustomDataVersion2">
      <go:sheetsCustomData xmlns:go="http://customooxmlschemas.google.com/" r:id="rId8" roundtripDataChecksum="kMu2UeI1Bv9gID+KYvEYGW8pCGWJVIRUpQRzyYW156M="/>
    </ext>
  </extLst>
</workbook>
</file>

<file path=xl/sharedStrings.xml><?xml version="1.0" encoding="utf-8"?>
<sst xmlns="http://schemas.openxmlformats.org/spreadsheetml/2006/main" count="237" uniqueCount="137">
  <si>
    <t xml:space="preserve">         </t>
  </si>
  <si>
    <t xml:space="preserve">Phase-Exit Review </t>
  </si>
  <si>
    <t>Organisation / Department:</t>
  </si>
  <si>
    <t>UPF Gestió de projectes</t>
  </si>
  <si>
    <t>Project Name:</t>
  </si>
  <si>
    <t>Aigua Clara</t>
  </si>
  <si>
    <t>Project Owner:</t>
  </si>
  <si>
    <t>Aigües de Barcelona</t>
  </si>
  <si>
    <t>Project Core Team Number:</t>
  </si>
  <si>
    <t>T202.A</t>
  </si>
  <si>
    <t xml:space="preserve">Project Core Team members: </t>
  </si>
  <si>
    <t>Maria Beili Mena Dorado, Alex Fernández de Alarcon, Sergi Rodríguez, Pol Serrat, Ferran Sordé i Martí Vilaró</t>
  </si>
  <si>
    <t>Reviewer Name:</t>
  </si>
  <si>
    <t>Rebeca Calderón or Elisabet Duocastella</t>
  </si>
  <si>
    <t>Overall Compliance (%)</t>
  </si>
  <si>
    <t>Overall Phase-Exit Status:</t>
  </si>
  <si>
    <t>Area</t>
  </si>
  <si>
    <t>Phase-Exit Status</t>
  </si>
  <si>
    <t>% of Phase Compliance</t>
  </si>
  <si>
    <t>Date</t>
  </si>
  <si>
    <t>Already performed?</t>
  </si>
  <si>
    <t xml:space="preserve"> </t>
  </si>
  <si>
    <t>Project Initiation</t>
  </si>
  <si>
    <t>Iteration</t>
  </si>
  <si>
    <t>Project Closure</t>
  </si>
  <si>
    <t>Assessment Key:</t>
  </si>
  <si>
    <t>Major key activities for the phase(s) weren't performed (50% of the key activities or more are still to be completed).</t>
  </si>
  <si>
    <t>Some key activities are still to be completed before the phase(s) can be closed (% of compliance between 51% and 80%).</t>
  </si>
  <si>
    <t>Nearly all the key activities for the phase(s) are complete (more than 80% of the key activities). The decision to move to another phase should be taken considering the relevance / adequacy of the remaining activities to the project and its specificities.</t>
  </si>
  <si>
    <t>Yes</t>
  </si>
  <si>
    <t>No</t>
  </si>
  <si>
    <t>Project Initiation Phase-Exit Checks</t>
  </si>
  <si>
    <t>Date:</t>
  </si>
  <si>
    <t>#</t>
  </si>
  <si>
    <t>Description</t>
  </si>
  <si>
    <t>Answer</t>
  </si>
  <si>
    <t>Score</t>
  </si>
  <si>
    <t>Comments</t>
  </si>
  <si>
    <t xml:space="preserve">Has a Project Initiation Request been documented and approved? </t>
  </si>
  <si>
    <t>Yes, Partially</t>
  </si>
  <si>
    <t>Està documentat, però no aprovat per SP i PSC</t>
  </si>
  <si>
    <t>Are the project context, scope, deliverables and expected outcomes documented?</t>
  </si>
  <si>
    <t xml:space="preserve">No s'han definit els outcomes </t>
  </si>
  <si>
    <t>Has a Project Owner (PO) been identified?</t>
  </si>
  <si>
    <t>Aigues de Barcelona es/serà el propietari</t>
  </si>
  <si>
    <t>Has the project theme been agreed with the challenge mentor?</t>
  </si>
  <si>
    <t>No hem tingut reunió amb el/la mentor/a</t>
  </si>
  <si>
    <t>Are success criteria documented?</t>
  </si>
  <si>
    <t>Fet</t>
  </si>
  <si>
    <t>Are the success criteria SMART?</t>
  </si>
  <si>
    <t>Afegit</t>
  </si>
  <si>
    <t>Have all the key project stakeholders been identified?</t>
  </si>
  <si>
    <t>Are all the initial roles and responsibilities defined?</t>
  </si>
  <si>
    <t>N/A</t>
  </si>
  <si>
    <t>Are major assumptions and constraints identified?</t>
  </si>
  <si>
    <t>(Detallat al project charter)</t>
  </si>
  <si>
    <t>Have the major risks been identified?</t>
  </si>
  <si>
    <t>Is there a Representative (REP) assigned to the project?</t>
  </si>
  <si>
    <t xml:space="preserve">Representant: Maria Beili </t>
  </si>
  <si>
    <t>Has the PCT decided whether to include a Project Manager (PM) rol?</t>
  </si>
  <si>
    <t>Project Manager: Martí Villaró</t>
  </si>
  <si>
    <t>Has a Project Charter been documented by the Project Core Team (PCT)?</t>
  </si>
  <si>
    <t xml:space="preserve">Is the project scope broken-down in manageable components that allow rough estimation of resources, work effort and duration? </t>
  </si>
  <si>
    <t>Is the project work breakdown structure completed ?</t>
  </si>
  <si>
    <t>Is the Project Initiation kick-off meeting planned?</t>
  </si>
  <si>
    <t>Have all artifacts been placed in the project repository Google Drive?</t>
  </si>
  <si>
    <t>Have all artifcats followed the configuration plan?</t>
  </si>
  <si>
    <t>Is the project ready to proceed to the Iteration Phase?</t>
  </si>
  <si>
    <t>Necessita ser aprovat  per SP i PSC</t>
  </si>
  <si>
    <t>Total score for compliance</t>
  </si>
  <si>
    <t>Iteration Phase-Exit Checks</t>
  </si>
  <si>
    <t>dd/mm/yyyy</t>
  </si>
  <si>
    <t>QUESTIONS TO BE ANSWERED AT THE END OF FIRST ITERATION</t>
  </si>
  <si>
    <t>Is the Stakeholder Matrix complete with all the relevant stakeholders' names and contact details?</t>
  </si>
  <si>
    <t>Are all project roles and responsibilities detailed?</t>
  </si>
  <si>
    <t>Has the product scope been agreed with the challenge expert or mentor?</t>
  </si>
  <si>
    <t>No, no tenim assignat un mentor</t>
  </si>
  <si>
    <t>Was the Project Work Plan baselined and approved by the Project Steering Committee (PSC)?</t>
  </si>
  <si>
    <t>Encara no</t>
  </si>
  <si>
    <t>Is the Project Work Plan baselined and approved by the Project Steering Committee (PSC)?</t>
  </si>
  <si>
    <t>Are all the communication items (e.g. meetings and reports) defined as well as their frequency?</t>
  </si>
  <si>
    <t>Is a Risk Management Plan documented as a separate document?</t>
  </si>
  <si>
    <t>Has a configuration management procedure been documented?</t>
  </si>
  <si>
    <t>Is there a Project Handbook documented?</t>
  </si>
  <si>
    <t xml:space="preserve">Donat pels professors </t>
  </si>
  <si>
    <t>Are all the major deviations from the Project Charter approved by the Project Steering Committee (PSC)?</t>
  </si>
  <si>
    <t xml:space="preserve">Have deliverables been performed as defined and scheduled in the work breakdown structure? </t>
  </si>
  <si>
    <t>Totes les entregues s'han realitzat com tocava i en el termini indicat.</t>
  </si>
  <si>
    <t>Were artefacts produced, updated and revised as planned?</t>
  </si>
  <si>
    <t>Correcte.</t>
  </si>
  <si>
    <t>Was the work breakdown structure refined at each iteration?</t>
  </si>
  <si>
    <t>No l'hem modificat.</t>
  </si>
  <si>
    <t>Was the iteration work defined at the beggining of each iteration?</t>
  </si>
  <si>
    <t>&lt;Add a justification here.&gt;</t>
  </si>
  <si>
    <t>Were the quality control activities performed as planned?</t>
  </si>
  <si>
    <t>No s'ha fet plantejat un quality control</t>
  </si>
  <si>
    <t>Are all major risks mitigated?</t>
  </si>
  <si>
    <t>No hem pogut implementar cap validació de les dades, ja que encara no les hem rebut.</t>
  </si>
  <si>
    <t>Have the products deliverables been agreed with the challenge expert or mentor?</t>
  </si>
  <si>
    <t>Encara no tenim mentor.</t>
  </si>
  <si>
    <t>Have all the approved changes been implemented?</t>
  </si>
  <si>
    <t>Encara no hem tingut feedback dels PSC ni mentors</t>
  </si>
  <si>
    <t>Are deliverables in line with requestor needs and expectations?</t>
  </si>
  <si>
    <t>Sí, progressa adequadament.</t>
  </si>
  <si>
    <t>Are all the project issues and corrective actions resolved / closed?</t>
  </si>
  <si>
    <t>Tot en ordre.</t>
  </si>
  <si>
    <t>Are all product deliverables ready to be approved by the Project Owner (PO)?</t>
  </si>
  <si>
    <t>Feina feta.</t>
  </si>
  <si>
    <t>Are all project artifacts ready to be approved by the Solution Provider (SP)?</t>
  </si>
  <si>
    <t>Les entregues s'han dut a terme.</t>
  </si>
  <si>
    <t>Were the relevant stakeholders informed about the delivery of projects outputs?</t>
  </si>
  <si>
    <t>Tots aquells stakeholders coneguts han estat informats. Com hem mencionat anteriorment, encara no tenim mentor.</t>
  </si>
  <si>
    <t>Were project performance indicators and metrics captured and assessed?</t>
  </si>
  <si>
    <t>No tenim dades</t>
  </si>
  <si>
    <t>Have all the communication items (meetings, reports,…) been implemented as planned?</t>
  </si>
  <si>
    <t>Have all deliverables/artifacts  been placed in the project repository Google Drive?</t>
  </si>
  <si>
    <t>Have all deliverables/artifacts followed the configuration plan?</t>
  </si>
  <si>
    <t>Segueixen el format requerit.</t>
  </si>
  <si>
    <t>Is the project ready to proceed to the Closing Phase?</t>
  </si>
  <si>
    <t>A l'espera feedback i millores per part de PSC</t>
  </si>
  <si>
    <t>Project Closure Phase-Exit Checks</t>
  </si>
  <si>
    <t>Did a Project-End Review Meeting take place?</t>
  </si>
  <si>
    <t>&lt;Add here the justification for the answer given.&gt;</t>
  </si>
  <si>
    <t>Has the product backlog been completed?</t>
  </si>
  <si>
    <t>Did the Appropriate Governance Board (AGB) formally approve deliverables (Challenge Final Report)?</t>
  </si>
  <si>
    <t>Were final project performance indicators and metrics assessed and compared to project baselines?</t>
  </si>
  <si>
    <t>Are project benefits and unachieved goals assessed and remaining benefits forecasted?</t>
  </si>
  <si>
    <t xml:space="preserve">Was client / requestor satisfaction assessed? </t>
  </si>
  <si>
    <t>In case some risks or issues couldn't be closed, are they re-assessed and follow-up actions recommended?</t>
  </si>
  <si>
    <t>Did all the relevant stakeholders give feedback on the overall project experience?</t>
  </si>
  <si>
    <t>Were lessons learned and post-project recommendations captured?</t>
  </si>
  <si>
    <t>Is the Project-End Report documented and delivered to the relevant stakeholders?</t>
  </si>
  <si>
    <t>Have all deliverables  been placed in the project repository Google Drive?</t>
  </si>
  <si>
    <t>Have all deliverables followed the configuration plan?</t>
  </si>
  <si>
    <t>Was the project formally accepted by the Project Steering Commitee (PSC), project-end report?</t>
  </si>
  <si>
    <t>Have project team members performance been assessed?</t>
  </si>
  <si>
    <t>Is the project ready to be closed?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</si>
</sst>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_)"/>
  </numFmts>
  <fonts count="22">
    <font>
      <sz val="10.0"/>
      <color rgb="FF000000"/>
      <name val="Arial"/>
      <scheme val="minor"/>
    </font>
    <font>
      <b/>
      <sz val="10.0"/>
      <color theme="1"/>
      <name val="Calibri"/>
    </font>
    <font>
      <sz val="10.0"/>
      <color theme="1"/>
      <name val="Calibri"/>
    </font>
    <font>
      <i/>
      <sz val="10.0"/>
      <color rgb="FF1B6FB5"/>
      <name val="Calibri"/>
    </font>
    <font/>
    <font>
      <b/>
      <sz val="16.0"/>
      <color theme="1"/>
      <name val="Calibri"/>
    </font>
    <font>
      <sz val="10.0"/>
      <color rgb="FF0000FF"/>
      <name val="Calibri"/>
    </font>
    <font>
      <b/>
      <sz val="12.0"/>
      <color theme="1"/>
      <name val="Calibri"/>
    </font>
    <font>
      <sz val="10.0"/>
      <color rgb="FF974806"/>
      <name val="Calibri"/>
    </font>
    <font>
      <sz val="12.0"/>
      <color theme="1"/>
      <name val="Calibri"/>
    </font>
    <font>
      <b/>
      <sz val="14.0"/>
      <color theme="1"/>
      <name val="Calibri"/>
    </font>
    <font>
      <b/>
      <sz val="24.0"/>
      <color rgb="FF0000FF"/>
      <name val="Calibri"/>
    </font>
    <font>
      <i/>
      <sz val="16.0"/>
      <color rgb="FF974806"/>
      <name val="Calibri"/>
    </font>
    <font>
      <i/>
      <sz val="10.0"/>
      <color theme="1"/>
      <name val="Calibri"/>
    </font>
    <font>
      <b/>
      <sz val="20.0"/>
      <color rgb="FFFFFFFF"/>
      <name val="Calibri"/>
    </font>
    <font>
      <sz val="11.0"/>
      <color theme="1"/>
      <name val="Calibri"/>
    </font>
    <font>
      <b/>
      <sz val="20.0"/>
      <color theme="1"/>
      <name val="Calibri"/>
    </font>
    <font>
      <b/>
      <sz val="11.0"/>
      <color rgb="FFFFFFFF"/>
      <name val="Calibri"/>
    </font>
    <font>
      <sz val="10.0"/>
      <color theme="1"/>
      <name val="Arial"/>
    </font>
    <font>
      <b/>
      <sz val="11.0"/>
      <color theme="1"/>
      <name val="Calibri"/>
    </font>
    <font>
      <b/>
      <sz val="11.0"/>
      <color theme="0"/>
      <name val="Calibri"/>
    </font>
    <font>
      <i/>
      <sz val="12.0"/>
      <color rgb="FF974806"/>
      <name val="Calibri"/>
    </font>
  </fonts>
  <fills count="11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D6E3BC"/>
        <bgColor rgb="FFD6E3BC"/>
      </patternFill>
    </fill>
    <fill>
      <patternFill patternType="solid">
        <fgColor rgb="FFEAF1DD"/>
        <bgColor rgb="FFEAF1DD"/>
      </patternFill>
    </fill>
    <fill>
      <patternFill patternType="solid">
        <fgColor rgb="FFFFE2A7"/>
        <bgColor rgb="FFFFE2A7"/>
      </patternFill>
    </fill>
    <fill>
      <patternFill patternType="solid">
        <fgColor rgb="FFA5A5A5"/>
        <bgColor rgb="FFA5A5A5"/>
      </patternFill>
    </fill>
    <fill>
      <patternFill patternType="solid">
        <fgColor rgb="FFEEECE1"/>
        <bgColor rgb="FFEEECE1"/>
      </patternFill>
    </fill>
    <fill>
      <patternFill patternType="solid">
        <fgColor rgb="FFE5B8B7"/>
        <bgColor rgb="FFE5B8B7"/>
      </patternFill>
    </fill>
    <fill>
      <patternFill patternType="solid">
        <fgColor rgb="FFF2DBDB"/>
        <bgColor rgb="FFF2DBDB"/>
      </patternFill>
    </fill>
    <fill>
      <patternFill patternType="solid">
        <fgColor rgb="FFC2D69B"/>
        <bgColor rgb="FFC2D69B"/>
      </patternFill>
    </fill>
  </fills>
  <borders count="71">
    <border/>
    <border>
      <left/>
      <right/>
      <top/>
      <bottom/>
    </border>
    <border>
      <left/>
      <top/>
      <bottom/>
    </border>
    <border>
      <top/>
      <bottom/>
    </border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 style="medium">
        <color rgb="FF000000"/>
      </left>
      <right style="hair">
        <color rgb="FF000000"/>
      </right>
      <top style="medium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medium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/>
      <bottom style="hair">
        <color rgb="FF000000"/>
      </bottom>
    </border>
    <border>
      <left style="hair">
        <color rgb="FF000000"/>
      </left>
      <right style="medium">
        <color rgb="FF000000"/>
      </right>
      <top/>
      <bottom style="hair">
        <color rgb="FF000000"/>
      </bottom>
    </border>
    <border>
      <left style="medium">
        <color rgb="FF000000"/>
      </left>
      <right style="medium">
        <color rgb="FF000000"/>
      </right>
      <top style="hair">
        <color rgb="FF000000"/>
      </top>
      <bottom style="hair">
        <color rgb="FF000000"/>
      </bottom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/>
      <right/>
      <top style="medium">
        <color rgb="FF000000"/>
      </top>
    </border>
    <border>
      <left style="medium">
        <color rgb="FF000000"/>
      </left>
      <right style="hair">
        <color rgb="FF000000"/>
      </right>
      <top style="medium">
        <color rgb="FF000000"/>
      </top>
      <bottom style="medium">
        <color rgb="FF000000"/>
      </bottom>
    </border>
    <border>
      <left style="hair">
        <color rgb="FF000000"/>
      </left>
      <right style="hair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/>
      <top/>
      <bottom/>
    </border>
    <border>
      <left style="medium">
        <color rgb="FF000000"/>
      </left>
      <right style="medium">
        <color rgb="FF000000"/>
      </right>
      <bottom style="hair">
        <color rgb="FF000000"/>
      </bottom>
    </border>
    <border>
      <left style="hair">
        <color rgb="FF000000"/>
      </left>
      <right style="hair">
        <color rgb="FF000000"/>
      </right>
      <top style="medium">
        <color rgb="FF000000"/>
      </top>
      <bottom style="hair">
        <color rgb="FF000000"/>
      </bottom>
    </border>
    <border>
      <left style="hair">
        <color rgb="FF000000"/>
      </left>
      <right style="medium">
        <color rgb="FF000000"/>
      </right>
      <bottom style="hair">
        <color rgb="FF000000"/>
      </bottom>
    </border>
    <border>
      <left style="hair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hair">
        <color rgb="FF000000"/>
      </top>
    </border>
    <border>
      <left style="medium">
        <color rgb="FF000000"/>
      </left>
      <right style="hair">
        <color rgb="FF000000"/>
      </right>
      <top style="hair">
        <color rgb="FF000000"/>
      </top>
    </border>
    <border>
      <left style="hair">
        <color rgb="FF000000"/>
      </left>
      <right style="hair">
        <color rgb="FF000000"/>
      </right>
      <top style="hair">
        <color rgb="FF000000"/>
      </top>
    </border>
    <border>
      <left style="hair">
        <color rgb="FF000000"/>
      </left>
      <right style="hair">
        <color rgb="FF000000"/>
      </right>
      <top/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left style="hair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medium">
        <color rgb="FF000000"/>
      </bottom>
    </border>
    <border>
      <left style="hair">
        <color rgb="FF000000"/>
      </left>
      <right style="hair">
        <color rgb="FF000000"/>
      </right>
      <top/>
      <bottom style="medium">
        <color rgb="FF000000"/>
      </bottom>
    </border>
    <border>
      <left style="medium">
        <color rgb="FF000000"/>
      </left>
      <right/>
      <top/>
      <bottom style="hair">
        <color rgb="FF000000"/>
      </bottom>
    </border>
    <border>
      <left/>
      <right style="medium">
        <color rgb="FF000000"/>
      </right>
      <top/>
      <bottom style="hair">
        <color rgb="FF000000"/>
      </bottom>
    </border>
    <border>
      <left/>
      <right style="medium">
        <color rgb="FF000000"/>
      </right>
      <top style="hair">
        <color rgb="FF000000"/>
      </top>
      <bottom style="hair">
        <color rgb="FF000000"/>
      </bottom>
    </border>
    <border>
      <left style="medium">
        <color rgb="FF000000"/>
      </left>
      <right/>
      <top style="hair">
        <color rgb="FF000000"/>
      </top>
      <bottom style="hair">
        <color rgb="FF000000"/>
      </bottom>
    </border>
  </borders>
  <cellStyleXfs count="1">
    <xf borderId="0" fillId="0" fontId="0" numFmtId="0" applyAlignment="1" applyFont="1"/>
  </cellStyleXfs>
  <cellXfs count="145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Border="1" applyFont="1"/>
    <xf borderId="2" fillId="2" fontId="3" numFmtId="0" xfId="0" applyAlignment="1" applyBorder="1" applyFont="1">
      <alignment horizontal="left" shrinkToFit="0" vertical="center" wrapText="1"/>
    </xf>
    <xf borderId="3" fillId="0" fontId="4" numFmtId="0" xfId="0" applyBorder="1" applyFont="1"/>
    <xf borderId="4" fillId="3" fontId="5" numFmtId="0" xfId="0" applyAlignment="1" applyBorder="1" applyFill="1" applyFont="1">
      <alignment horizontal="center"/>
    </xf>
    <xf borderId="5" fillId="0" fontId="4" numFmtId="0" xfId="0" applyBorder="1" applyFont="1"/>
    <xf borderId="6" fillId="0" fontId="4" numFmtId="0" xfId="0" applyBorder="1" applyFont="1"/>
    <xf borderId="1" fillId="2" fontId="6" numFmtId="0" xfId="0" applyBorder="1" applyFont="1"/>
    <xf borderId="7" fillId="2" fontId="7" numFmtId="0" xfId="0" applyAlignment="1" applyBorder="1" applyFont="1">
      <alignment horizontal="right"/>
    </xf>
    <xf borderId="8" fillId="2" fontId="8" numFmtId="0" xfId="0" applyAlignment="1" applyBorder="1" applyFont="1">
      <alignment horizontal="center" shrinkToFit="0" vertical="center" wrapText="1"/>
    </xf>
    <xf borderId="9" fillId="0" fontId="4" numFmtId="0" xfId="0" applyBorder="1" applyFont="1"/>
    <xf borderId="10" fillId="0" fontId="4" numFmtId="0" xfId="0" applyBorder="1" applyFont="1"/>
    <xf borderId="7" fillId="4" fontId="7" numFmtId="0" xfId="0" applyAlignment="1" applyBorder="1" applyFill="1" applyFont="1">
      <alignment horizontal="right"/>
    </xf>
    <xf borderId="8" fillId="4" fontId="9" numFmtId="0" xfId="0" applyAlignment="1" applyBorder="1" applyFont="1">
      <alignment horizontal="center" shrinkToFit="0" vertical="center" wrapText="1"/>
    </xf>
    <xf borderId="11" fillId="2" fontId="8" numFmtId="0" xfId="0" applyAlignment="1" applyBorder="1" applyFont="1">
      <alignment horizontal="center" shrinkToFit="0" vertical="center" wrapText="1"/>
    </xf>
    <xf borderId="12" fillId="2" fontId="8" numFmtId="0" xfId="0" applyAlignment="1" applyBorder="1" applyFont="1">
      <alignment horizontal="center" shrinkToFit="0" vertical="center" wrapText="1"/>
    </xf>
    <xf borderId="13" fillId="2" fontId="8" numFmtId="0" xfId="0" applyAlignment="1" applyBorder="1" applyFont="1">
      <alignment horizontal="center" shrinkToFit="0" vertical="center" wrapText="1"/>
    </xf>
    <xf borderId="8" fillId="4" fontId="8" numFmtId="0" xfId="0" applyAlignment="1" applyBorder="1" applyFont="1">
      <alignment horizontal="center" shrinkToFit="0" vertical="center" wrapText="1"/>
    </xf>
    <xf borderId="1" fillId="2" fontId="2" numFmtId="164" xfId="0" applyBorder="1" applyFont="1" applyNumberFormat="1"/>
    <xf borderId="14" fillId="2" fontId="10" numFmtId="0" xfId="0" applyAlignment="1" applyBorder="1" applyFont="1">
      <alignment horizontal="right" shrinkToFit="0" wrapText="1"/>
    </xf>
    <xf borderId="8" fillId="2" fontId="10" numFmtId="9" xfId="0" applyAlignment="1" applyBorder="1" applyFont="1" applyNumberFormat="1">
      <alignment horizontal="center" shrinkToFit="0" vertical="center" wrapText="1"/>
    </xf>
    <xf borderId="1" fillId="2" fontId="9" numFmtId="0" xfId="0" applyBorder="1" applyFont="1"/>
    <xf borderId="15" fillId="2" fontId="10" numFmtId="0" xfId="0" applyAlignment="1" applyBorder="1" applyFont="1">
      <alignment horizontal="right" shrinkToFit="0" wrapText="1"/>
    </xf>
    <xf borderId="16" fillId="2" fontId="11" numFmtId="2" xfId="0" applyAlignment="1" applyBorder="1" applyFont="1" applyNumberFormat="1">
      <alignment horizontal="center" vertical="center"/>
    </xf>
    <xf borderId="17" fillId="0" fontId="4" numFmtId="0" xfId="0" applyBorder="1" applyFont="1"/>
    <xf borderId="18" fillId="0" fontId="4" numFmtId="0" xfId="0" applyBorder="1" applyFont="1"/>
    <xf borderId="1" fillId="2" fontId="7" numFmtId="0" xfId="0" applyBorder="1" applyFont="1"/>
    <xf borderId="19" fillId="4" fontId="7" numFmtId="0" xfId="0" applyAlignment="1" applyBorder="1" applyFont="1">
      <alignment horizontal="center" shrinkToFit="0" vertical="center" wrapText="1"/>
    </xf>
    <xf borderId="20" fillId="4" fontId="7" numFmtId="0" xfId="0" applyAlignment="1" applyBorder="1" applyFont="1">
      <alignment horizontal="center" shrinkToFit="0" vertical="center" wrapText="1"/>
    </xf>
    <xf borderId="21" fillId="4" fontId="7" numFmtId="0" xfId="0" applyAlignment="1" applyBorder="1" applyFont="1">
      <alignment horizontal="center" shrinkToFit="0" vertical="center" wrapText="1"/>
    </xf>
    <xf borderId="22" fillId="4" fontId="7" numFmtId="0" xfId="0" applyAlignment="1" applyBorder="1" applyFont="1">
      <alignment horizontal="center" shrinkToFit="0" vertical="center" wrapText="1"/>
    </xf>
    <xf borderId="23" fillId="2" fontId="7" numFmtId="0" xfId="0" applyAlignment="1" applyBorder="1" applyFont="1">
      <alignment horizontal="left" shrinkToFit="0" vertical="center" wrapText="1"/>
    </xf>
    <xf borderId="11" fillId="2" fontId="12" numFmtId="9" xfId="0" applyAlignment="1" applyBorder="1" applyFont="1" applyNumberFormat="1">
      <alignment horizontal="center" vertical="center"/>
    </xf>
    <xf borderId="24" fillId="2" fontId="7" numFmtId="9" xfId="0" applyAlignment="1" applyBorder="1" applyFont="1" applyNumberFormat="1">
      <alignment horizontal="center" shrinkToFit="0" vertical="center" wrapText="1"/>
    </xf>
    <xf borderId="12" fillId="2" fontId="7" numFmtId="14" xfId="0" applyAlignment="1" applyBorder="1" applyFont="1" applyNumberFormat="1">
      <alignment horizontal="center" shrinkToFit="0" vertical="center" wrapText="1"/>
    </xf>
    <xf borderId="13" fillId="2" fontId="7" numFmtId="0" xfId="0" applyAlignment="1" applyBorder="1" applyFont="1">
      <alignment horizontal="center" shrinkToFit="0" vertical="center" wrapText="1"/>
    </xf>
    <xf borderId="1" fillId="2" fontId="13" numFmtId="0" xfId="0" applyBorder="1" applyFont="1"/>
    <xf borderId="11" fillId="2" fontId="7" numFmtId="9" xfId="0" applyAlignment="1" applyBorder="1" applyFont="1" applyNumberFormat="1">
      <alignment horizontal="center" shrinkToFit="0" vertical="center" wrapText="1"/>
    </xf>
    <xf borderId="25" fillId="2" fontId="7" numFmtId="0" xfId="0" applyAlignment="1" applyBorder="1" applyFont="1">
      <alignment horizontal="left" shrinkToFit="0" vertical="center" wrapText="1"/>
    </xf>
    <xf borderId="26" fillId="2" fontId="12" numFmtId="9" xfId="0" applyAlignment="1" applyBorder="1" applyFont="1" applyNumberFormat="1">
      <alignment horizontal="center" vertical="center"/>
    </xf>
    <xf borderId="26" fillId="2" fontId="7" numFmtId="9" xfId="0" applyAlignment="1" applyBorder="1" applyFont="1" applyNumberFormat="1">
      <alignment horizontal="center" shrinkToFit="0" vertical="center" wrapText="1"/>
    </xf>
    <xf borderId="27" fillId="2" fontId="7" numFmtId="14" xfId="0" applyAlignment="1" applyBorder="1" applyFont="1" applyNumberFormat="1">
      <alignment horizontal="center" shrinkToFit="0" vertical="center" wrapText="1"/>
    </xf>
    <xf borderId="28" fillId="2" fontId="7" numFmtId="0" xfId="0" applyAlignment="1" applyBorder="1" applyFont="1">
      <alignment horizontal="center" shrinkToFit="0" vertical="center" wrapText="1"/>
    </xf>
    <xf borderId="19" fillId="2" fontId="1" numFmtId="0" xfId="0" applyBorder="1" applyFont="1"/>
    <xf borderId="29" fillId="2" fontId="2" numFmtId="0" xfId="0" applyAlignment="1" applyBorder="1" applyFont="1">
      <alignment shrinkToFit="0" wrapText="1"/>
    </xf>
    <xf borderId="30" fillId="0" fontId="4" numFmtId="0" xfId="0" applyBorder="1" applyFont="1"/>
    <xf borderId="31" fillId="0" fontId="4" numFmtId="0" xfId="0" applyBorder="1" applyFont="1"/>
    <xf borderId="1" fillId="2" fontId="1" numFmtId="0" xfId="0" applyAlignment="1" applyBorder="1" applyFont="1">
      <alignment horizontal="center"/>
    </xf>
    <xf borderId="7" fillId="2" fontId="14" numFmtId="0" xfId="0" applyAlignment="1" applyBorder="1" applyFont="1">
      <alignment horizontal="center" vertical="center"/>
    </xf>
    <xf borderId="8" fillId="2" fontId="15" numFmtId="0" xfId="0" applyAlignment="1" applyBorder="1" applyFont="1">
      <alignment shrinkToFit="0" vertical="center" wrapText="1"/>
    </xf>
    <xf borderId="7" fillId="2" fontId="16" numFmtId="0" xfId="0" applyAlignment="1" applyBorder="1" applyFont="1">
      <alignment horizontal="center" vertical="center"/>
    </xf>
    <xf borderId="15" fillId="2" fontId="16" numFmtId="0" xfId="0" applyAlignment="1" applyBorder="1" applyFont="1">
      <alignment horizontal="center" vertical="center"/>
    </xf>
    <xf borderId="16" fillId="2" fontId="15" numFmtId="0" xfId="0" applyAlignment="1" applyBorder="1" applyFont="1">
      <alignment shrinkToFit="0" vertical="center" wrapText="1"/>
    </xf>
    <xf borderId="2" fillId="2" fontId="2" numFmtId="0" xfId="0" applyAlignment="1" applyBorder="1" applyFont="1">
      <alignment shrinkToFit="0" wrapText="1"/>
    </xf>
    <xf borderId="2" fillId="2" fontId="1" numFmtId="0" xfId="0" applyAlignment="1" applyBorder="1" applyFont="1">
      <alignment shrinkToFit="0" wrapText="1"/>
    </xf>
    <xf borderId="32" fillId="5" fontId="7" numFmtId="0" xfId="0" applyAlignment="1" applyBorder="1" applyFill="1" applyFont="1">
      <alignment horizontal="center" vertical="center"/>
    </xf>
    <xf borderId="33" fillId="5" fontId="7" numFmtId="0" xfId="0" applyAlignment="1" applyBorder="1" applyFont="1">
      <alignment horizontal="center" vertical="center"/>
    </xf>
    <xf borderId="33" fillId="5" fontId="7" numFmtId="0" xfId="0" applyAlignment="1" applyBorder="1" applyFont="1">
      <alignment horizontal="right" vertical="center"/>
    </xf>
    <xf borderId="34" fillId="6" fontId="17" numFmtId="14" xfId="0" applyAlignment="1" applyBorder="1" applyFill="1" applyFont="1" applyNumberFormat="1">
      <alignment horizontal="center" readingOrder="0" vertical="center"/>
    </xf>
    <xf borderId="35" fillId="5" fontId="7" numFmtId="0" xfId="0" applyAlignment="1" applyBorder="1" applyFont="1">
      <alignment horizontal="right" vertical="center"/>
    </xf>
    <xf borderId="36" fillId="0" fontId="4" numFmtId="0" xfId="0" applyBorder="1" applyFont="1"/>
    <xf borderId="33" fillId="5" fontId="7" numFmtId="9" xfId="0" applyAlignment="1" applyBorder="1" applyFont="1" applyNumberFormat="1">
      <alignment horizontal="center" vertical="center"/>
    </xf>
    <xf borderId="37" fillId="5" fontId="12" numFmtId="9" xfId="0" applyAlignment="1" applyBorder="1" applyFont="1" applyNumberFormat="1">
      <alignment horizontal="center" vertical="center"/>
    </xf>
    <xf borderId="32" fillId="7" fontId="7" numFmtId="0" xfId="0" applyAlignment="1" applyBorder="1" applyFill="1" applyFont="1">
      <alignment horizontal="center" vertical="center"/>
    </xf>
    <xf borderId="38" fillId="7" fontId="7" numFmtId="0" xfId="0" applyAlignment="1" applyBorder="1" applyFont="1">
      <alignment horizontal="center" vertical="center"/>
    </xf>
    <xf borderId="33" fillId="7" fontId="7" numFmtId="0" xfId="0" applyAlignment="1" applyBorder="1" applyFont="1">
      <alignment horizontal="center" vertical="center"/>
    </xf>
    <xf borderId="39" fillId="7" fontId="7" numFmtId="0" xfId="0" applyAlignment="1" applyBorder="1" applyFont="1">
      <alignment horizontal="center" vertical="center"/>
    </xf>
    <xf borderId="40" fillId="2" fontId="15" numFmtId="0" xfId="0" applyAlignment="1" applyBorder="1" applyFont="1">
      <alignment horizontal="center" shrinkToFit="0" vertical="center" wrapText="1"/>
    </xf>
    <xf borderId="41" fillId="2" fontId="15" numFmtId="0" xfId="0" applyAlignment="1" applyBorder="1" applyFont="1">
      <alignment horizontal="left" shrinkToFit="0" vertical="center" wrapText="1"/>
    </xf>
    <xf borderId="42" fillId="2" fontId="15" numFmtId="0" xfId="0" applyAlignment="1" applyBorder="1" applyFont="1">
      <alignment horizontal="center" shrinkToFit="0" vertical="center" wrapText="1"/>
    </xf>
    <xf borderId="43" fillId="2" fontId="15" numFmtId="0" xfId="0" applyAlignment="1" applyBorder="1" applyFont="1">
      <alignment horizontal="center" shrinkToFit="0" vertical="center" wrapText="1"/>
    </xf>
    <xf borderId="44" fillId="2" fontId="3" numFmtId="0" xfId="0" applyAlignment="1" applyBorder="1" applyFont="1">
      <alignment horizontal="left" shrinkToFit="0" wrapText="1"/>
    </xf>
    <xf borderId="45" fillId="2" fontId="15" numFmtId="0" xfId="0" applyAlignment="1" applyBorder="1" applyFont="1">
      <alignment horizontal="center" shrinkToFit="0" vertical="center" wrapText="1"/>
    </xf>
    <xf borderId="46" fillId="2" fontId="15" numFmtId="0" xfId="0" applyAlignment="1" applyBorder="1" applyFont="1">
      <alignment horizontal="left" shrinkToFit="0" vertical="center" wrapText="1"/>
    </xf>
    <xf borderId="47" fillId="2" fontId="15" numFmtId="0" xfId="0" applyAlignment="1" applyBorder="1" applyFont="1">
      <alignment horizontal="center" shrinkToFit="0" vertical="center" wrapText="1"/>
    </xf>
    <xf borderId="1" fillId="2" fontId="18" numFmtId="0" xfId="0" applyBorder="1" applyFont="1"/>
    <xf borderId="48" fillId="2" fontId="15" numFmtId="0" xfId="0" applyAlignment="1" applyBorder="1" applyFont="1">
      <alignment horizontal="left" shrinkToFit="0" vertical="center" wrapText="1"/>
    </xf>
    <xf borderId="49" fillId="2" fontId="15" numFmtId="0" xfId="0" applyAlignment="1" applyBorder="1" applyFont="1">
      <alignment horizontal="center" shrinkToFit="0" vertical="center" wrapText="1"/>
    </xf>
    <xf borderId="32" fillId="5" fontId="19" numFmtId="0" xfId="0" applyAlignment="1" applyBorder="1" applyFont="1">
      <alignment horizontal="center" shrinkToFit="0" vertical="center" wrapText="1"/>
    </xf>
    <xf borderId="33" fillId="5" fontId="19" numFmtId="0" xfId="0" applyAlignment="1" applyBorder="1" applyFont="1">
      <alignment horizontal="left" shrinkToFit="0" vertical="center" wrapText="1"/>
    </xf>
    <xf borderId="33" fillId="5" fontId="19" numFmtId="0" xfId="0" applyAlignment="1" applyBorder="1" applyFont="1">
      <alignment horizontal="center" vertical="center"/>
    </xf>
    <xf borderId="33" fillId="5" fontId="19" numFmtId="0" xfId="0" applyAlignment="1" applyBorder="1" applyFont="1">
      <alignment horizontal="center" shrinkToFit="0" vertical="center" wrapText="1"/>
    </xf>
    <xf borderId="39" fillId="5" fontId="19" numFmtId="0" xfId="0" applyAlignment="1" applyBorder="1" applyFont="1">
      <alignment horizontal="center" shrinkToFit="0" vertical="center" wrapText="1"/>
    </xf>
    <xf borderId="32" fillId="8" fontId="7" numFmtId="0" xfId="0" applyAlignment="1" applyBorder="1" applyFill="1" applyFont="1">
      <alignment horizontal="center" vertical="center"/>
    </xf>
    <xf borderId="33" fillId="8" fontId="7" numFmtId="0" xfId="0" applyAlignment="1" applyBorder="1" applyFont="1">
      <alignment horizontal="center" vertical="center"/>
    </xf>
    <xf borderId="33" fillId="8" fontId="7" numFmtId="0" xfId="0" applyAlignment="1" applyBorder="1" applyFont="1">
      <alignment horizontal="right" vertical="center"/>
    </xf>
    <xf borderId="34" fillId="6" fontId="20" numFmtId="14" xfId="0" applyAlignment="1" applyBorder="1" applyFont="1" applyNumberFormat="1">
      <alignment horizontal="center" vertical="center"/>
    </xf>
    <xf borderId="35" fillId="8" fontId="7" numFmtId="0" xfId="0" applyAlignment="1" applyBorder="1" applyFont="1">
      <alignment horizontal="right" vertical="center"/>
    </xf>
    <xf borderId="33" fillId="8" fontId="7" numFmtId="9" xfId="0" applyAlignment="1" applyBorder="1" applyFont="1" applyNumberFormat="1">
      <alignment horizontal="center" vertical="center"/>
    </xf>
    <xf borderId="39" fillId="8" fontId="21" numFmtId="9" xfId="0" applyAlignment="1" applyBorder="1" applyFont="1" applyNumberFormat="1">
      <alignment horizontal="center" vertical="center"/>
    </xf>
    <xf borderId="50" fillId="7" fontId="7" numFmtId="0" xfId="0" applyAlignment="1" applyBorder="1" applyFont="1">
      <alignment horizontal="center" vertical="center"/>
    </xf>
    <xf borderId="2" fillId="2" fontId="2" numFmtId="0" xfId="0" applyBorder="1" applyFont="1"/>
    <xf borderId="35" fillId="2" fontId="15" numFmtId="0" xfId="0" applyAlignment="1" applyBorder="1" applyFont="1">
      <alignment horizontal="center" shrinkToFit="0" vertical="center" wrapText="1"/>
    </xf>
    <xf borderId="51" fillId="2" fontId="19" numFmtId="0" xfId="0" applyAlignment="1" applyBorder="1" applyFont="1">
      <alignment horizontal="left" shrinkToFit="0" vertical="center" wrapText="1"/>
    </xf>
    <xf borderId="52" fillId="2" fontId="15" numFmtId="0" xfId="0" applyAlignment="1" applyBorder="1" applyFont="1">
      <alignment horizontal="center" shrinkToFit="0" vertical="center" wrapText="1"/>
    </xf>
    <xf borderId="36" fillId="2" fontId="15" numFmtId="0" xfId="0" applyAlignment="1" applyBorder="1" applyFont="1">
      <alignment horizontal="center" shrinkToFit="0" vertical="center" wrapText="1"/>
    </xf>
    <xf borderId="53" fillId="2" fontId="3" numFmtId="0" xfId="0" applyAlignment="1" applyBorder="1" applyFont="1">
      <alignment horizontal="left" shrinkToFit="0" wrapText="1"/>
    </xf>
    <xf borderId="54" fillId="2" fontId="2" numFmtId="0" xfId="0" applyBorder="1" applyFont="1"/>
    <xf borderId="55" fillId="2" fontId="15" numFmtId="0" xfId="0" applyAlignment="1" applyBorder="1" applyFont="1">
      <alignment horizontal="center" shrinkToFit="0" vertical="center" wrapText="1"/>
    </xf>
    <xf borderId="56" fillId="2" fontId="15" numFmtId="0" xfId="0" applyAlignment="1" applyBorder="1" applyFont="1">
      <alignment horizontal="center" shrinkToFit="0" vertical="center" wrapText="1"/>
    </xf>
    <xf borderId="57" fillId="2" fontId="3" numFmtId="0" xfId="0" applyAlignment="1" applyBorder="1" applyFont="1">
      <alignment horizontal="left" shrinkToFit="0" wrapText="1"/>
    </xf>
    <xf borderId="58" fillId="2" fontId="3" numFmtId="0" xfId="0" applyAlignment="1" applyBorder="1" applyFont="1">
      <alignment horizontal="left" shrinkToFit="0" vertical="center" wrapText="1"/>
    </xf>
    <xf borderId="59" fillId="2" fontId="15" numFmtId="0" xfId="0" applyAlignment="1" applyBorder="1" applyFont="1">
      <alignment horizontal="center" shrinkToFit="0" vertical="center" wrapText="1"/>
    </xf>
    <xf borderId="60" fillId="2" fontId="15" numFmtId="0" xfId="0" applyAlignment="1" applyBorder="1" applyFont="1">
      <alignment horizontal="left" shrinkToFit="0" vertical="center" wrapText="1"/>
    </xf>
    <xf borderId="61" fillId="2" fontId="15" numFmtId="0" xfId="0" applyAlignment="1" applyBorder="1" applyFont="1">
      <alignment horizontal="center" shrinkToFit="0" vertical="center" wrapText="1"/>
    </xf>
    <xf borderId="62" fillId="2" fontId="15" numFmtId="0" xfId="0" applyAlignment="1" applyBorder="1" applyFont="1">
      <alignment horizontal="center" shrinkToFit="0" vertical="center" wrapText="1"/>
    </xf>
    <xf borderId="57" fillId="2" fontId="3" numFmtId="0" xfId="0" applyAlignment="1" applyBorder="1" applyFont="1">
      <alignment horizontal="left" shrinkToFit="0" vertical="center" wrapText="1"/>
    </xf>
    <xf borderId="53" fillId="2" fontId="3" numFmtId="0" xfId="0" applyAlignment="1" applyBorder="1" applyFont="1">
      <alignment horizontal="left" shrinkToFit="0" vertical="center" wrapText="1"/>
    </xf>
    <xf borderId="63" fillId="2" fontId="15" numFmtId="0" xfId="0" applyAlignment="1" applyBorder="1" applyFont="1">
      <alignment horizontal="center" shrinkToFit="0" vertical="center" wrapText="1"/>
    </xf>
    <xf borderId="64" fillId="2" fontId="3" numFmtId="0" xfId="0" applyAlignment="1" applyBorder="1" applyFont="1">
      <alignment horizontal="left" shrinkToFit="0" vertical="center" wrapText="1"/>
    </xf>
    <xf borderId="46" fillId="2" fontId="15" numFmtId="0" xfId="0" applyBorder="1" applyFont="1"/>
    <xf borderId="46" fillId="2" fontId="15" numFmtId="0" xfId="0" applyAlignment="1" applyBorder="1" applyFont="1">
      <alignment horizontal="left" shrinkToFit="0" wrapText="1"/>
    </xf>
    <xf borderId="65" fillId="2" fontId="15" numFmtId="0" xfId="0" applyAlignment="1" applyBorder="1" applyFont="1">
      <alignment horizontal="center" shrinkToFit="0" vertical="center" wrapText="1"/>
    </xf>
    <xf borderId="66" fillId="2" fontId="15" numFmtId="0" xfId="0" applyAlignment="1" applyBorder="1" applyFont="1">
      <alignment horizontal="center" shrinkToFit="0" vertical="center" wrapText="1"/>
    </xf>
    <xf borderId="32" fillId="9" fontId="19" numFmtId="0" xfId="0" applyAlignment="1" applyBorder="1" applyFill="1" applyFont="1">
      <alignment horizontal="center" shrinkToFit="0" vertical="center" wrapText="1"/>
    </xf>
    <xf borderId="33" fillId="9" fontId="19" numFmtId="0" xfId="0" applyAlignment="1" applyBorder="1" applyFont="1">
      <alignment horizontal="left" shrinkToFit="0" vertical="center" wrapText="1"/>
    </xf>
    <xf borderId="33" fillId="9" fontId="19" numFmtId="0" xfId="0" applyAlignment="1" applyBorder="1" applyFont="1">
      <alignment horizontal="center" shrinkToFit="0" vertical="center" wrapText="1"/>
    </xf>
    <xf borderId="39" fillId="9" fontId="19" numFmtId="0" xfId="0" applyAlignment="1" applyBorder="1" applyFont="1">
      <alignment horizontal="center" shrinkToFit="0" vertical="center" wrapText="1"/>
    </xf>
    <xf borderId="1" fillId="2" fontId="2" numFmtId="0" xfId="0" applyAlignment="1" applyBorder="1" applyFont="1">
      <alignment horizontal="center"/>
    </xf>
    <xf borderId="32" fillId="10" fontId="7" numFmtId="0" xfId="0" applyAlignment="1" applyBorder="1" applyFill="1" applyFont="1">
      <alignment horizontal="center" vertical="center"/>
    </xf>
    <xf borderId="33" fillId="10" fontId="7" numFmtId="0" xfId="0" applyAlignment="1" applyBorder="1" applyFont="1">
      <alignment horizontal="center" vertical="center"/>
    </xf>
    <xf borderId="33" fillId="10" fontId="7" numFmtId="0" xfId="0" applyAlignment="1" applyBorder="1" applyFont="1">
      <alignment horizontal="right" vertical="center"/>
    </xf>
    <xf borderId="35" fillId="10" fontId="7" numFmtId="0" xfId="0" applyAlignment="1" applyBorder="1" applyFont="1">
      <alignment horizontal="right" vertical="center"/>
    </xf>
    <xf borderId="33" fillId="10" fontId="7" numFmtId="9" xfId="0" applyAlignment="1" applyBorder="1" applyFont="1" applyNumberFormat="1">
      <alignment horizontal="center" vertical="center"/>
    </xf>
    <xf borderId="39" fillId="10" fontId="12" numFmtId="9" xfId="0" applyAlignment="1" applyBorder="1" applyFont="1" applyNumberFormat="1">
      <alignment horizontal="center" vertical="center"/>
    </xf>
    <xf borderId="67" fillId="2" fontId="15" numFmtId="0" xfId="0" applyAlignment="1" applyBorder="1" applyFont="1">
      <alignment horizontal="left" shrinkToFit="0" vertical="center" wrapText="1"/>
    </xf>
    <xf borderId="68" fillId="2" fontId="3" numFmtId="0" xfId="0" applyAlignment="1" applyBorder="1" applyFont="1">
      <alignment horizontal="left" shrinkToFit="0" wrapText="1"/>
    </xf>
    <xf borderId="69" fillId="2" fontId="15" numFmtId="0" xfId="0" applyAlignment="1" applyBorder="1" applyFont="1">
      <alignment horizontal="center" shrinkToFit="0" vertical="center" wrapText="1"/>
    </xf>
    <xf borderId="70" fillId="2" fontId="15" numFmtId="0" xfId="0" applyAlignment="1" applyBorder="1" applyFont="1">
      <alignment horizontal="left" shrinkToFit="0" vertical="center" wrapText="1"/>
    </xf>
    <xf borderId="32" fillId="10" fontId="19" numFmtId="0" xfId="0" applyAlignment="1" applyBorder="1" applyFont="1">
      <alignment horizontal="center" shrinkToFit="0" vertical="center" wrapText="1"/>
    </xf>
    <xf borderId="33" fillId="10" fontId="19" numFmtId="0" xfId="0" applyAlignment="1" applyBorder="1" applyFont="1">
      <alignment horizontal="left" shrinkToFit="0" vertical="center" wrapText="1"/>
    </xf>
    <xf borderId="33" fillId="10" fontId="19" numFmtId="0" xfId="0" applyAlignment="1" applyBorder="1" applyFont="1">
      <alignment horizontal="center" shrinkToFit="0" vertical="center" wrapText="1"/>
    </xf>
    <xf borderId="39" fillId="10" fontId="19" numFmtId="0" xfId="0" applyAlignment="1" applyBorder="1" applyFont="1">
      <alignment horizontal="center" shrinkToFit="0" vertical="center" wrapText="1"/>
    </xf>
    <xf borderId="38" fillId="2" fontId="2" numFmtId="0" xfId="0" applyAlignment="1" applyBorder="1" applyFont="1">
      <alignment horizontal="center" shrinkToFit="0" wrapText="1"/>
    </xf>
    <xf borderId="38" fillId="2" fontId="2" numFmtId="0" xfId="0" applyBorder="1" applyFont="1"/>
    <xf borderId="38" fillId="2" fontId="2" numFmtId="0" xfId="0" applyAlignment="1" applyBorder="1" applyFont="1">
      <alignment horizontal="center" shrinkToFit="0" vertical="center" wrapText="1"/>
    </xf>
    <xf borderId="38" fillId="2" fontId="2" numFmtId="0" xfId="0" applyAlignment="1" applyBorder="1" applyFont="1">
      <alignment horizontal="left" shrinkToFit="0" wrapText="1"/>
    </xf>
    <xf borderId="1" fillId="2" fontId="2" numFmtId="0" xfId="0" applyAlignment="1" applyBorder="1" applyFont="1">
      <alignment horizontal="center" shrinkToFit="0" wrapText="1"/>
    </xf>
    <xf borderId="1" fillId="2" fontId="2" numFmtId="0" xfId="0" applyAlignment="1" applyBorder="1" applyFont="1">
      <alignment horizontal="left" shrinkToFit="0" vertical="center" wrapText="1"/>
    </xf>
    <xf borderId="1" fillId="2" fontId="2" numFmtId="0" xfId="0" applyAlignment="1" applyBorder="1" applyFont="1">
      <alignment horizontal="center" shrinkToFit="0" vertical="center" wrapText="1"/>
    </xf>
    <xf borderId="1" fillId="2" fontId="2" numFmtId="0" xfId="0" applyAlignment="1" applyBorder="1" applyFont="1">
      <alignment horizontal="left" shrinkToFit="0" wrapText="1"/>
    </xf>
    <xf borderId="1" fillId="2" fontId="7" numFmtId="0" xfId="0" applyAlignment="1" applyBorder="1" applyFont="1">
      <alignment horizontal="center" vertical="center"/>
    </xf>
    <xf borderId="1" fillId="2" fontId="1" numFmtId="0" xfId="0" applyAlignment="1" applyBorder="1" applyFont="1">
      <alignment horizontal="center" shrinkToFit="0" vertical="center" wrapText="1"/>
    </xf>
    <xf borderId="1" fillId="2" fontId="1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2400">
                <a:solidFill>
                  <a:srgbClr val="757575"/>
                </a:solidFill>
                <a:latin typeface="+mn-lt"/>
              </a:defRPr>
            </a:pPr>
            <a:r>
              <a:rPr b="1" i="0" sz="2400">
                <a:solidFill>
                  <a:srgbClr val="757575"/>
                </a:solidFill>
                <a:latin typeface="+mn-lt"/>
              </a:rPr>
              <a:t>Phase-Exit Status </a:t>
            </a:r>
          </a:p>
        </c:rich>
      </c:tx>
      <c:layout>
        <c:manualLayout>
          <c:xMode val="edge"/>
          <c:yMode val="edge"/>
          <c:x val="0.2600711753136121"/>
          <c:y val="0.13082540055627376"/>
        </c:manualLayout>
      </c:layout>
      <c:overlay val="0"/>
    </c:title>
    <c:plotArea>
      <c:layout>
        <c:manualLayout>
          <c:xMode val="edge"/>
          <c:yMode val="edge"/>
          <c:x val="0.24288425047438333"/>
          <c:y val="0.2803037215507654"/>
          <c:w val="0.4686907020872866"/>
          <c:h val="0.6237389119192708"/>
        </c:manualLayout>
      </c:layout>
      <c:barChart>
        <c:barDir val="bar"/>
        <c:ser>
          <c:idx val="0"/>
          <c:order val="0"/>
          <c:tx>
            <c:v>% of phase completion</c:v>
          </c:tx>
          <c:spPr>
            <a:solidFill>
              <a:srgbClr val="F79646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FFCC00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F5750B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rgbClr val="FF5399"/>
              </a:solidFill>
              <a:ln cmpd="sng">
                <a:solidFill>
                  <a:srgbClr val="000000"/>
                </a:solidFill>
              </a:ln>
            </c:spPr>
          </c:dPt>
          <c:dPt>
            <c:idx val="3"/>
            <c:spPr>
              <a:solidFill>
                <a:srgbClr val="92D050"/>
              </a:solidFill>
              <a:ln cmpd="sng">
                <a:solidFill>
                  <a:srgbClr val="000000"/>
                </a:solidFill>
              </a:ln>
            </c:spPr>
          </c:dPt>
          <c:cat>
            <c:strRef>
              <c:f>Summary!$B$19:$B$21</c:f>
            </c:strRef>
          </c:cat>
          <c:val>
            <c:numRef>
              <c:f>Summary!$D$19:$D$21</c:f>
              <c:numCache/>
            </c:numRef>
          </c:val>
        </c:ser>
        <c:axId val="1459456837"/>
        <c:axId val="965289068"/>
      </c:barChart>
      <c:catAx>
        <c:axId val="145945683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Project Phases</a:t>
                </a:r>
              </a:p>
            </c:rich>
          </c:tx>
          <c:layout>
            <c:manualLayout>
              <c:xMode val="edge"/>
              <c:yMode val="edge"/>
              <c:x val="0.09260263519691618"/>
              <c:y val="0.5261183844556744"/>
            </c:manualLayout>
          </c:layout>
          <c:overlay val="0"/>
        </c:title>
        <c:numFmt formatCode="General" sourceLinked="1"/>
        <c:majorTickMark val="out"/>
        <c:minorTickMark val="none"/>
        <c:spPr/>
        <c:txPr>
          <a:bodyPr rot="0"/>
          <a:lstStyle/>
          <a:p>
            <a:pPr lvl="0">
              <a:defRPr b="1" i="0" sz="1200">
                <a:solidFill>
                  <a:srgbClr val="000000"/>
                </a:solidFill>
                <a:latin typeface="+mn-lt"/>
              </a:defRPr>
            </a:pPr>
          </a:p>
        </c:txPr>
        <c:crossAx val="965289068"/>
      </c:catAx>
      <c:valAx>
        <c:axId val="965289068"/>
        <c:scaling>
          <c:orientation val="minMax"/>
          <c:max val="1.0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% of Phase Compliance</a:t>
                </a:r>
              </a:p>
            </c:rich>
          </c:tx>
          <c:overlay val="0"/>
        </c:title>
        <c:numFmt formatCode="General" sourceLinked="1"/>
        <c:majorTickMark val="cross"/>
        <c:minorTickMark val="in"/>
        <c:tickLblPos val="nextTo"/>
        <c:spPr>
          <a:ln/>
        </c:spPr>
        <c:txPr>
          <a:bodyPr rot="0"/>
          <a:lstStyle/>
          <a:p>
            <a:pPr lvl="0">
              <a:defRPr b="1" i="0" sz="1200">
                <a:solidFill>
                  <a:srgbClr val="000000"/>
                </a:solidFill>
                <a:latin typeface="+mn-lt"/>
              </a:defRPr>
            </a:pPr>
          </a:p>
        </c:txPr>
        <c:crossAx val="1459456837"/>
        <c:crosses val="max"/>
        <c:majorUnit val="1.0"/>
        <c:minorUnit val="0.1"/>
      </c:valAx>
      <c:spPr>
        <a:solidFill>
          <a:schemeClr val="accent6"/>
        </a:solidFill>
      </c:spPr>
    </c:plotArea>
    <c:plotVisOnly val="0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171450</xdr:colOff>
      <xdr:row>2</xdr:row>
      <xdr:rowOff>95250</xdr:rowOff>
    </xdr:from>
    <xdr:ext cx="8172450" cy="5010150"/>
    <xdr:graphicFrame>
      <xdr:nvGraphicFramePr>
        <xdr:cNvPr id="1548793403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8CCE4"/>
    <pageSetUpPr fitToPage="1"/>
  </sheetPr>
  <sheetViews>
    <sheetView workbookViewId="0"/>
  </sheetViews>
  <sheetFormatPr customHeight="1" defaultColWidth="12.63" defaultRowHeight="15.0"/>
  <cols>
    <col customWidth="1" min="1" max="1" width="4.0"/>
    <col customWidth="1" min="2" max="2" width="35.38"/>
    <col customWidth="1" min="3" max="3" width="27.38"/>
    <col customWidth="1" min="4" max="4" width="12.38"/>
    <col customWidth="1" min="5" max="5" width="13.75"/>
    <col customWidth="1" min="6" max="6" width="15.38"/>
    <col customWidth="1" min="7" max="7" width="9.25"/>
    <col customWidth="1" min="8" max="8" width="7.38"/>
    <col customWidth="1" min="9" max="10" width="12.38"/>
    <col customWidth="1" min="11" max="11" width="10.38"/>
    <col customWidth="1" min="12" max="15" width="9.25"/>
    <col customWidth="1" min="16" max="16" width="14.0"/>
    <col customWidth="1" min="17" max="26" width="9.25"/>
  </cols>
  <sheetData>
    <row r="1" ht="13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54.75" customHeight="1">
      <c r="A2" s="2"/>
      <c r="B2" s="3" t="s">
        <v>0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2"/>
      <c r="T2" s="2"/>
      <c r="U2" s="2"/>
      <c r="V2" s="2"/>
      <c r="W2" s="2"/>
      <c r="X2" s="2"/>
      <c r="Y2" s="2"/>
      <c r="Z2" s="2"/>
    </row>
    <row r="3" ht="21.0" customHeight="1">
      <c r="A3" s="2"/>
      <c r="B3" s="5" t="s">
        <v>1</v>
      </c>
      <c r="C3" s="6"/>
      <c r="D3" s="6"/>
      <c r="E3" s="6"/>
      <c r="F3" s="7"/>
      <c r="G3" s="8"/>
      <c r="H3" s="8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3.5" customHeight="1">
      <c r="A4" s="2"/>
      <c r="B4" s="9" t="s">
        <v>2</v>
      </c>
      <c r="C4" s="10" t="s">
        <v>3</v>
      </c>
      <c r="D4" s="11"/>
      <c r="E4" s="11"/>
      <c r="F4" s="1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3.5" customHeight="1">
      <c r="A5" s="2"/>
      <c r="B5" s="9" t="s">
        <v>4</v>
      </c>
      <c r="C5" s="10" t="s">
        <v>5</v>
      </c>
      <c r="D5" s="11"/>
      <c r="E5" s="11"/>
      <c r="F5" s="1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4.5" customHeight="1">
      <c r="A6" s="2"/>
      <c r="B6" s="13"/>
      <c r="C6" s="14"/>
      <c r="D6" s="11"/>
      <c r="E6" s="11"/>
      <c r="F6" s="1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3.5" customHeight="1">
      <c r="A7" s="2"/>
      <c r="B7" s="9" t="s">
        <v>6</v>
      </c>
      <c r="C7" s="10" t="s">
        <v>7</v>
      </c>
      <c r="D7" s="11"/>
      <c r="E7" s="11"/>
      <c r="F7" s="1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.25" customHeight="1">
      <c r="A8" s="2"/>
      <c r="B8" s="9"/>
      <c r="C8" s="15"/>
      <c r="D8" s="15"/>
      <c r="E8" s="16"/>
      <c r="F8" s="17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2"/>
      <c r="B9" s="9" t="s">
        <v>8</v>
      </c>
      <c r="C9" s="10" t="s">
        <v>9</v>
      </c>
      <c r="D9" s="11"/>
      <c r="E9" s="11"/>
      <c r="F9" s="1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.25" customHeight="1">
      <c r="A10" s="2"/>
      <c r="B10" s="9"/>
      <c r="C10" s="10"/>
      <c r="D10" s="11"/>
      <c r="E10" s="11"/>
      <c r="F10" s="1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3.5" customHeight="1">
      <c r="A11" s="2"/>
      <c r="B11" s="9" t="s">
        <v>10</v>
      </c>
      <c r="C11" s="10" t="s">
        <v>11</v>
      </c>
      <c r="D11" s="11"/>
      <c r="E11" s="11"/>
      <c r="F11" s="1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5.25" customHeight="1">
      <c r="A12" s="2"/>
      <c r="B12" s="13"/>
      <c r="C12" s="18"/>
      <c r="D12" s="11"/>
      <c r="E12" s="11"/>
      <c r="F12" s="12"/>
      <c r="G12" s="2"/>
      <c r="H12" s="2"/>
      <c r="I12" s="19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2"/>
      <c r="B13" s="9" t="s">
        <v>12</v>
      </c>
      <c r="C13" s="10" t="s">
        <v>13</v>
      </c>
      <c r="D13" s="11"/>
      <c r="E13" s="11"/>
      <c r="F13" s="1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5.25" customHeight="1">
      <c r="A14" s="2"/>
      <c r="B14" s="13"/>
      <c r="C14" s="14"/>
      <c r="D14" s="11"/>
      <c r="E14" s="11"/>
      <c r="F14" s="1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9.5" customHeight="1">
      <c r="A15" s="2"/>
      <c r="B15" s="20" t="s">
        <v>14</v>
      </c>
      <c r="C15" s="21">
        <f>AVERAGE(D19,D20,D21)</f>
        <v>0.4848759831</v>
      </c>
      <c r="D15" s="11"/>
      <c r="E15" s="11"/>
      <c r="F15" s="1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36.75" customHeight="1">
      <c r="A16" s="22"/>
      <c r="B16" s="23" t="s">
        <v>15</v>
      </c>
      <c r="C16" s="24">
        <f>C15</f>
        <v>0.4848759831</v>
      </c>
      <c r="D16" s="25"/>
      <c r="E16" s="25"/>
      <c r="F16" s="26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3.5" customHeight="1">
      <c r="A17" s="27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3.5" customHeight="1">
      <c r="A18" s="2"/>
      <c r="B18" s="28" t="s">
        <v>16</v>
      </c>
      <c r="C18" s="29" t="s">
        <v>17</v>
      </c>
      <c r="D18" s="30" t="s">
        <v>18</v>
      </c>
      <c r="E18" s="30" t="s">
        <v>19</v>
      </c>
      <c r="F18" s="31" t="s">
        <v>20</v>
      </c>
      <c r="G18" s="8" t="s">
        <v>21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8.0" customHeight="1">
      <c r="A19" s="2"/>
      <c r="B19" s="32" t="s">
        <v>22</v>
      </c>
      <c r="C19" s="33">
        <f>'Project Initiation'!F3</f>
        <v>0.8684210526</v>
      </c>
      <c r="D19" s="34">
        <f>'Project Initiation'!E3</f>
        <v>0.8684210526</v>
      </c>
      <c r="E19" s="35">
        <f>'Project Initiation'!F2</f>
        <v>45927</v>
      </c>
      <c r="F19" s="36" t="str">
        <f t="shared" ref="F19:F21" si="1">IF(D19=0,"No","Yes")</f>
        <v>Yes</v>
      </c>
      <c r="G19" s="8"/>
      <c r="H19" s="2"/>
      <c r="I19" s="37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8.0" customHeight="1">
      <c r="A20" s="2"/>
      <c r="B20" s="32" t="s">
        <v>23</v>
      </c>
      <c r="C20" s="33">
        <f>Iteration!F3</f>
        <v>0.5862068966</v>
      </c>
      <c r="D20" s="38">
        <f>Iteration!E3</f>
        <v>0.5862068966</v>
      </c>
      <c r="E20" s="35" t="str">
        <f>Iteration!F2</f>
        <v>dd/mm/yyyy</v>
      </c>
      <c r="F20" s="36" t="str">
        <f t="shared" si="1"/>
        <v>Yes</v>
      </c>
      <c r="G20" s="8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8.0" customHeight="1">
      <c r="A21" s="2"/>
      <c r="B21" s="39" t="s">
        <v>24</v>
      </c>
      <c r="C21" s="40">
        <f>'Project Closure'!F3</f>
        <v>0</v>
      </c>
      <c r="D21" s="41">
        <f>'Project Closure'!E3</f>
        <v>0</v>
      </c>
      <c r="E21" s="42" t="str">
        <f>'Project Closure'!F2</f>
        <v>dd/mm/yyyy</v>
      </c>
      <c r="F21" s="43" t="str">
        <f t="shared" si="1"/>
        <v>No</v>
      </c>
      <c r="G21" s="8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3.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3.5" customHeight="1">
      <c r="A23" s="2"/>
      <c r="B23" s="44" t="s">
        <v>25</v>
      </c>
      <c r="C23" s="45"/>
      <c r="D23" s="46"/>
      <c r="E23" s="46"/>
      <c r="F23" s="47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39.75" customHeight="1">
      <c r="A24" s="48"/>
      <c r="B24" s="49">
        <v>0.3</v>
      </c>
      <c r="C24" s="50" t="s">
        <v>26</v>
      </c>
      <c r="D24" s="11"/>
      <c r="E24" s="11"/>
      <c r="F24" s="1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45.75" customHeight="1">
      <c r="A25" s="48"/>
      <c r="B25" s="51">
        <v>0.7</v>
      </c>
      <c r="C25" s="50" t="s">
        <v>27</v>
      </c>
      <c r="D25" s="11"/>
      <c r="E25" s="11"/>
      <c r="F25" s="1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59.25" customHeight="1">
      <c r="A26" s="48"/>
      <c r="B26" s="52">
        <v>0.9</v>
      </c>
      <c r="C26" s="53" t="s">
        <v>28</v>
      </c>
      <c r="D26" s="25"/>
      <c r="E26" s="25"/>
      <c r="F26" s="26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3.5" customHeight="1">
      <c r="A27" s="48"/>
      <c r="B27" s="54"/>
      <c r="C27" s="4"/>
      <c r="D27" s="4"/>
      <c r="E27" s="4"/>
      <c r="F27" s="4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3.5" customHeight="1">
      <c r="A28" s="48"/>
      <c r="B28" s="54"/>
      <c r="C28" s="4"/>
      <c r="D28" s="4"/>
      <c r="E28" s="4"/>
      <c r="F28" s="4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3.5" customHeight="1">
      <c r="A29" s="2"/>
      <c r="B29" s="55"/>
      <c r="C29" s="4"/>
      <c r="D29" s="4"/>
      <c r="E29" s="4"/>
      <c r="F29" s="4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3.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3.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3.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3.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3.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3.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3.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3.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3.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3.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3.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3.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3.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3.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3.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3.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3.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3.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3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3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3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3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3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3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3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3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3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3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3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3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3.5" customHeight="1">
      <c r="A60" s="2"/>
      <c r="B60" s="2" t="s">
        <v>29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3.5" customHeight="1">
      <c r="A61" s="2"/>
      <c r="B61" s="2" t="s">
        <v>30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3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3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3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3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3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3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3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3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3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3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3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3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3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3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3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3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3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3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3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3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3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3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3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3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3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3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3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3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3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3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3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3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3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3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3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3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3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3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3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3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3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3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3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3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3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3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3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3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3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3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3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3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3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3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3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3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3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3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3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3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3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3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3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3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3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3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3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3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3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3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3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3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3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3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3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3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3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3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3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3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3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3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3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3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3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3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3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3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3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3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3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3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3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3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3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3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3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3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3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3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3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3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3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3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3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3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3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3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3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3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3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3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3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3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3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3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3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3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3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3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3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3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3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3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3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3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3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3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3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3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3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3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3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3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3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3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3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3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3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3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3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3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3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3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3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3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3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3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3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3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3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3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3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3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3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3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3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3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3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3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3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3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3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3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3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3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3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3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3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3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3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3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3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3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3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3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3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3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3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3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3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3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3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3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3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3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3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3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3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3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3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3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3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3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3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3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3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3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3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3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3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3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3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3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3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3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3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3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3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3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3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3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3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3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3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3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3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3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3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3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3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3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3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3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3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3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3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3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3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3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3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3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3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3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3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3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3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3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3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3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3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3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3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3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3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3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3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3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3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3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3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3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3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3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3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3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3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3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3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3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3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3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3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3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3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3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3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3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3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3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3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3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3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3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3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3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3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3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3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3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3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3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3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3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3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3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3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3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3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3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3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3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3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3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3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3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3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3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3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3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3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3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3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3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3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3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3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3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3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3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3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3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3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3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3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3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3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3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3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3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3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3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3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3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3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3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3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3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3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3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3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3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3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3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3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3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3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3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3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3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3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3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3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3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3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3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3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3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3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3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3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3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3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3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3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3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3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3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3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3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3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3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3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3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3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3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3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3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3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3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3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3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3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3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3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3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3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3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3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3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3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3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3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3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3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3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3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3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3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3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3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3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3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3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3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3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3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3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3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3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3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3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3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3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3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3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3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3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3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3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3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3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3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3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3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3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3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3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3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3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3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3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3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3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3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3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3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3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3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3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3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3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3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3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3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3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3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3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3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3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3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3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3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3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3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3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3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3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3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3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3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3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3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3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3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3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3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3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3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3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3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3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3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3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3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3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3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3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3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3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3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3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3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3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3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3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3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3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3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3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3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3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3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3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3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3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3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3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3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3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3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3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3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3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3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3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3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3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3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3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3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3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3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3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3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3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3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3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3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3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3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3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3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3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3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3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3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3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3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3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3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3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3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3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3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3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3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3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3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3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3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3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3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3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3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3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3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3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3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3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3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3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3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3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3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3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3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3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3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3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3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3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3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3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3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3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3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3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3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3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3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3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3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3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3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3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3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3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3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3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3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3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3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3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3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3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3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3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3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3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3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3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3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3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3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3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3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3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3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3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3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3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3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3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3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3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3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3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3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3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3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3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3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3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3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3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3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3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3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3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3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3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3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3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3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3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3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3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3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3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3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3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3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3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3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3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3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3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3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3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3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3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3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3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3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3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3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3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3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3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3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3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3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3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3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3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3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3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3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3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3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3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3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3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3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3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3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3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3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3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3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3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3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3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3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3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3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3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3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3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3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3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3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3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3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3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3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3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3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3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3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3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3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3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3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3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3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3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3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3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3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3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3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3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3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3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3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3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3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3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3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3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3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3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3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3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3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3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3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3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3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3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3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3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3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3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3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3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3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3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3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3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3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3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3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3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3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3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3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3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3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3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3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3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3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3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3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3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3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3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3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3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3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3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3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3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3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3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3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3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3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3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3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3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3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3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3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3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3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3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3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3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3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3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3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3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3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3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3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3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3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3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3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3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3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3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3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3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3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3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3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3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3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3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3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3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3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3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3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3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3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3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3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3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3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3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3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3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3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3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3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3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3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3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3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3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3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3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3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3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3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3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3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3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3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3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3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3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3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3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3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3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3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3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3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3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3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3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3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3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3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3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3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3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3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3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3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3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3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3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3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3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3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3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3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3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3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3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3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3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3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3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3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3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3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3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3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3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3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3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3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3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3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3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3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3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3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3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3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3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3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3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3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3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3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3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3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3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3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3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3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3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3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3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3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3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3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3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3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3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3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3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3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3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3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3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3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3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3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3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3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3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3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3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3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3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3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3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3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3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3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3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3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3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3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3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3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3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3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3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3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3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3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3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3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3.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3.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3.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3.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3.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3.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3.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3.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3.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3.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3.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3.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3.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</sheetData>
  <mergeCells count="21">
    <mergeCell ref="B2:R2"/>
    <mergeCell ref="B3:F3"/>
    <mergeCell ref="C4:F4"/>
    <mergeCell ref="C5:F5"/>
    <mergeCell ref="C6:F6"/>
    <mergeCell ref="C7:F7"/>
    <mergeCell ref="C9:F9"/>
    <mergeCell ref="C23:F23"/>
    <mergeCell ref="C24:F24"/>
    <mergeCell ref="C25:F25"/>
    <mergeCell ref="C26:F26"/>
    <mergeCell ref="B27:F27"/>
    <mergeCell ref="B28:F28"/>
    <mergeCell ref="B29:F29"/>
    <mergeCell ref="C10:F10"/>
    <mergeCell ref="C11:F11"/>
    <mergeCell ref="C12:F12"/>
    <mergeCell ref="C13:F13"/>
    <mergeCell ref="C14:F14"/>
    <mergeCell ref="C15:F15"/>
    <mergeCell ref="C16:F16"/>
  </mergeCells>
  <printOptions/>
  <pageMargins bottom="0.75" footer="0.0" header="0.0" left="0.7" right="0.7" top="1.03125"/>
  <pageSetup fitToHeight="0" paperSize="9" orientation="landscape"/>
  <headerFooter>
    <oddHeader>&amp;L00-004&amp;CGP2022 Phase-Exit Review Checklist 09-020 09-038&lt;Project Name&gt;</oddHeader>
    <oddFooter>&amp;R&amp;P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A8F"/>
    <pageSetUpPr/>
  </sheetPr>
  <sheetViews>
    <sheetView workbookViewId="0"/>
  </sheetViews>
  <sheetFormatPr customHeight="1" defaultColWidth="12.63" defaultRowHeight="15.0"/>
  <cols>
    <col customWidth="1" min="1" max="1" width="4.38"/>
    <col customWidth="1" min="2" max="2" width="7.25"/>
    <col customWidth="1" min="3" max="3" width="95.75"/>
    <col customWidth="1" min="4" max="5" width="14.25"/>
    <col customWidth="1" min="6" max="6" width="31.25"/>
    <col customWidth="1" min="7" max="11" width="4.38"/>
    <col customWidth="1" hidden="1" min="12" max="12" width="4.38"/>
    <col customWidth="1" min="13" max="26" width="4.38"/>
  </cols>
  <sheetData>
    <row r="1" ht="13.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3.5" customHeight="1">
      <c r="A2" s="2"/>
      <c r="B2" s="56"/>
      <c r="C2" s="57" t="s">
        <v>31</v>
      </c>
      <c r="D2" s="57"/>
      <c r="E2" s="58" t="s">
        <v>32</v>
      </c>
      <c r="F2" s="59">
        <v>45927.0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3.5" customHeight="1">
      <c r="A3" s="2"/>
      <c r="B3" s="60" t="s">
        <v>18</v>
      </c>
      <c r="C3" s="61"/>
      <c r="D3" s="61"/>
      <c r="E3" s="62">
        <f>E24/(190-D24*10)</f>
        <v>0.8684210526</v>
      </c>
      <c r="F3" s="63">
        <f>E3</f>
        <v>0.8684210526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3.5" customHeight="1">
      <c r="A4" s="2"/>
      <c r="B4" s="64" t="s">
        <v>33</v>
      </c>
      <c r="C4" s="64" t="s">
        <v>34</v>
      </c>
      <c r="D4" s="65" t="s">
        <v>35</v>
      </c>
      <c r="E4" s="66" t="s">
        <v>36</v>
      </c>
      <c r="F4" s="67" t="s">
        <v>37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0" customHeight="1">
      <c r="A5" s="2"/>
      <c r="B5" s="68">
        <v>1.0</v>
      </c>
      <c r="C5" s="69" t="s">
        <v>38</v>
      </c>
      <c r="D5" s="70" t="s">
        <v>39</v>
      </c>
      <c r="E5" s="71">
        <f t="shared" ref="E5:E23" si="1">IF(D5="Yes",10,IF(D5="Yes, Partially",5,IF(D5="No",0,"-")))</f>
        <v>5</v>
      </c>
      <c r="F5" s="72" t="s">
        <v>40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3.5" customHeight="1">
      <c r="A6" s="2"/>
      <c r="B6" s="73">
        <f t="shared" ref="B6:B18" si="2">B5+1</f>
        <v>2</v>
      </c>
      <c r="C6" s="74" t="s">
        <v>41</v>
      </c>
      <c r="D6" s="75" t="s">
        <v>39</v>
      </c>
      <c r="E6" s="71">
        <f t="shared" si="1"/>
        <v>5</v>
      </c>
      <c r="F6" s="72" t="s">
        <v>42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3.5" customHeight="1">
      <c r="A7" s="2"/>
      <c r="B7" s="73">
        <f t="shared" si="2"/>
        <v>3</v>
      </c>
      <c r="C7" s="74" t="s">
        <v>43</v>
      </c>
      <c r="D7" s="75" t="s">
        <v>29</v>
      </c>
      <c r="E7" s="71">
        <f t="shared" si="1"/>
        <v>10</v>
      </c>
      <c r="F7" s="72" t="s">
        <v>44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3.5" customHeight="1">
      <c r="A8" s="2"/>
      <c r="B8" s="73">
        <f t="shared" si="2"/>
        <v>4</v>
      </c>
      <c r="C8" s="74" t="s">
        <v>45</v>
      </c>
      <c r="D8" s="75" t="s">
        <v>30</v>
      </c>
      <c r="E8" s="71">
        <f t="shared" si="1"/>
        <v>0</v>
      </c>
      <c r="F8" s="72" t="s">
        <v>46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3.5" customHeight="1">
      <c r="A9" s="2"/>
      <c r="B9" s="73">
        <f t="shared" si="2"/>
        <v>5</v>
      </c>
      <c r="C9" s="74" t="s">
        <v>47</v>
      </c>
      <c r="D9" s="75" t="s">
        <v>29</v>
      </c>
      <c r="E9" s="71">
        <f t="shared" si="1"/>
        <v>10</v>
      </c>
      <c r="F9" s="72" t="s">
        <v>48</v>
      </c>
      <c r="G9" s="2"/>
      <c r="H9" s="2"/>
      <c r="I9" s="2"/>
      <c r="J9" s="2"/>
      <c r="K9" s="2"/>
      <c r="L9" s="2" t="s">
        <v>29</v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3.5" customHeight="1">
      <c r="A10" s="2"/>
      <c r="B10" s="73">
        <f t="shared" si="2"/>
        <v>6</v>
      </c>
      <c r="C10" s="74" t="s">
        <v>49</v>
      </c>
      <c r="D10" s="75" t="s">
        <v>29</v>
      </c>
      <c r="E10" s="71">
        <f t="shared" si="1"/>
        <v>10</v>
      </c>
      <c r="F10" s="72" t="s">
        <v>50</v>
      </c>
      <c r="G10" s="2"/>
      <c r="H10" s="2"/>
      <c r="I10" s="2"/>
      <c r="J10" s="2"/>
      <c r="K10" s="2"/>
      <c r="L10" s="76" t="s">
        <v>39</v>
      </c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3.5" customHeight="1">
      <c r="A11" s="2"/>
      <c r="B11" s="73">
        <f t="shared" si="2"/>
        <v>7</v>
      </c>
      <c r="C11" s="74" t="s">
        <v>51</v>
      </c>
      <c r="D11" s="75" t="s">
        <v>29</v>
      </c>
      <c r="E11" s="71">
        <f t="shared" si="1"/>
        <v>10</v>
      </c>
      <c r="F11" s="72"/>
      <c r="G11" s="2"/>
      <c r="H11" s="2"/>
      <c r="I11" s="2"/>
      <c r="J11" s="2"/>
      <c r="K11" s="2"/>
      <c r="L11" s="2" t="s">
        <v>30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3.5" customHeight="1">
      <c r="A12" s="2"/>
      <c r="B12" s="73">
        <f t="shared" si="2"/>
        <v>8</v>
      </c>
      <c r="C12" s="74" t="s">
        <v>52</v>
      </c>
      <c r="D12" s="75" t="s">
        <v>29</v>
      </c>
      <c r="E12" s="71">
        <f t="shared" si="1"/>
        <v>10</v>
      </c>
      <c r="F12" s="72"/>
      <c r="G12" s="2"/>
      <c r="H12" s="2"/>
      <c r="I12" s="2"/>
      <c r="J12" s="2"/>
      <c r="K12" s="2"/>
      <c r="L12" s="2" t="s">
        <v>53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3.5" customHeight="1">
      <c r="A13" s="2"/>
      <c r="B13" s="73">
        <f t="shared" si="2"/>
        <v>9</v>
      </c>
      <c r="C13" s="74" t="s">
        <v>54</v>
      </c>
      <c r="D13" s="75" t="s">
        <v>29</v>
      </c>
      <c r="E13" s="71">
        <f t="shared" si="1"/>
        <v>10</v>
      </c>
      <c r="F13" s="72" t="s">
        <v>55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3.5" customHeight="1">
      <c r="A14" s="2"/>
      <c r="B14" s="73">
        <f t="shared" si="2"/>
        <v>10</v>
      </c>
      <c r="C14" s="74" t="s">
        <v>56</v>
      </c>
      <c r="D14" s="75" t="s">
        <v>29</v>
      </c>
      <c r="E14" s="71">
        <f t="shared" si="1"/>
        <v>10</v>
      </c>
      <c r="F14" s="72" t="s">
        <v>55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3.5" customHeight="1">
      <c r="A15" s="2"/>
      <c r="B15" s="73">
        <f t="shared" si="2"/>
        <v>11</v>
      </c>
      <c r="C15" s="74" t="s">
        <v>57</v>
      </c>
      <c r="D15" s="75" t="s">
        <v>29</v>
      </c>
      <c r="E15" s="71">
        <f t="shared" si="1"/>
        <v>10</v>
      </c>
      <c r="F15" s="72" t="s">
        <v>58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3.5" customHeight="1">
      <c r="A16" s="2"/>
      <c r="B16" s="73">
        <f t="shared" si="2"/>
        <v>12</v>
      </c>
      <c r="C16" s="74" t="s">
        <v>59</v>
      </c>
      <c r="D16" s="75" t="s">
        <v>29</v>
      </c>
      <c r="E16" s="71">
        <f t="shared" si="1"/>
        <v>10</v>
      </c>
      <c r="F16" s="72" t="s">
        <v>60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3.5" customHeight="1">
      <c r="A17" s="2"/>
      <c r="B17" s="73">
        <f t="shared" si="2"/>
        <v>13</v>
      </c>
      <c r="C17" s="74" t="s">
        <v>61</v>
      </c>
      <c r="D17" s="75" t="s">
        <v>29</v>
      </c>
      <c r="E17" s="71">
        <f t="shared" si="1"/>
        <v>10</v>
      </c>
      <c r="F17" s="72" t="s">
        <v>48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33.0" customHeight="1">
      <c r="A18" s="2"/>
      <c r="B18" s="73">
        <f t="shared" si="2"/>
        <v>14</v>
      </c>
      <c r="C18" s="74" t="s">
        <v>62</v>
      </c>
      <c r="D18" s="75" t="s">
        <v>29</v>
      </c>
      <c r="E18" s="71">
        <f t="shared" si="1"/>
        <v>10</v>
      </c>
      <c r="F18" s="7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3.5" customHeight="1">
      <c r="A19" s="2"/>
      <c r="B19" s="73">
        <v>15.0</v>
      </c>
      <c r="C19" s="74" t="s">
        <v>63</v>
      </c>
      <c r="D19" s="75" t="s">
        <v>29</v>
      </c>
      <c r="E19" s="71">
        <f t="shared" si="1"/>
        <v>10</v>
      </c>
      <c r="F19" s="7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3.5" customHeight="1">
      <c r="A20" s="2"/>
      <c r="B20" s="73">
        <v>16.0</v>
      </c>
      <c r="C20" s="74" t="s">
        <v>64</v>
      </c>
      <c r="D20" s="75" t="s">
        <v>29</v>
      </c>
      <c r="E20" s="71">
        <f t="shared" si="1"/>
        <v>10</v>
      </c>
      <c r="F20" s="7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3.5" customHeight="1">
      <c r="A21" s="2"/>
      <c r="B21" s="73">
        <f t="shared" ref="B21:B23" si="3">B20+1</f>
        <v>17</v>
      </c>
      <c r="C21" s="74" t="s">
        <v>65</v>
      </c>
      <c r="D21" s="75" t="s">
        <v>29</v>
      </c>
      <c r="E21" s="71">
        <f t="shared" si="1"/>
        <v>10</v>
      </c>
      <c r="F21" s="7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3.5" customHeight="1">
      <c r="A22" s="2"/>
      <c r="B22" s="73">
        <f t="shared" si="3"/>
        <v>18</v>
      </c>
      <c r="C22" s="74" t="s">
        <v>66</v>
      </c>
      <c r="D22" s="75" t="s">
        <v>29</v>
      </c>
      <c r="E22" s="71">
        <f t="shared" si="1"/>
        <v>10</v>
      </c>
      <c r="F22" s="7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3.5" customHeight="1">
      <c r="A23" s="2"/>
      <c r="B23" s="73">
        <f t="shared" si="3"/>
        <v>19</v>
      </c>
      <c r="C23" s="77" t="s">
        <v>67</v>
      </c>
      <c r="D23" s="78" t="s">
        <v>39</v>
      </c>
      <c r="E23" s="71">
        <f t="shared" si="1"/>
        <v>5</v>
      </c>
      <c r="F23" s="72" t="s">
        <v>68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3.5" customHeight="1">
      <c r="A24" s="2"/>
      <c r="B24" s="79"/>
      <c r="C24" s="80" t="s">
        <v>69</v>
      </c>
      <c r="D24" s="81">
        <f>COUNTIF(D5:D23,"N/A")</f>
        <v>0</v>
      </c>
      <c r="E24" s="82">
        <f>SUM(E5:E23)</f>
        <v>165</v>
      </c>
      <c r="F24" s="83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3.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3.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3.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3.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3.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3.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3.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3.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3.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3.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3.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3.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3.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3.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3.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3.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3.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3.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3.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3.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3.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3.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3.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3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3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3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3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3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3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3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3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3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3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3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3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3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3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3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3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3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3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3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3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3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3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3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3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3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3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3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3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3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3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3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3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3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3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3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3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3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3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3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3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3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3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3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3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3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3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3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3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3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3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3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3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3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3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3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3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3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3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3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3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3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3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3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3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3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3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3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3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3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3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3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3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3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3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3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3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3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3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3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3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3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3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3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3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3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3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3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3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3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3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3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3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3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3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3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3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3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3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3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3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3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3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3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3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3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3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3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3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3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3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3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3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3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3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3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3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3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3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3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3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3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3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3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3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3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3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3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3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3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3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3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3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3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3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3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3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3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3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3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3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3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3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3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3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3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3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3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3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3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3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3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3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3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3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3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3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3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3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3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3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3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3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3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3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3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3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3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3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3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3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3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3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3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3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3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3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3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3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3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3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3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3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3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3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3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3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3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3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3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3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3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3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3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3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3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3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3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3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3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3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3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3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3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3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3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3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3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3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3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3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3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3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3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3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3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3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3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3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3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3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3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3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3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3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3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3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3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3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3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3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3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3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3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3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3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3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3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3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3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3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3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3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3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3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3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3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3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3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3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3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3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3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3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3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3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3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3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3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3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3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3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3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3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3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3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3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3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3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3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3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3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3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3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3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3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3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3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3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3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3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3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3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3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3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3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3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3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3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3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3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3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3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3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3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3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3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3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3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3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3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3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3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3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3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3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3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3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3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3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3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3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3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3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3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3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3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3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3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3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3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3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3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3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3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3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3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3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3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3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3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3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3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3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3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3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3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3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3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3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3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3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3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3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3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3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3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3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3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3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3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3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3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3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3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3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3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3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3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3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3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3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3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3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3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3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3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3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3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3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3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3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3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3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3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3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3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3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3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3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3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3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3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3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3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3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3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3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3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3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3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3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3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3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3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3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3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3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3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3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3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3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3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3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3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3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3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3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3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3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3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3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3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3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3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3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3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3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3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3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3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3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3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3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3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3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3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3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3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3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3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3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3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3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3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3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3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3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3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3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3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3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3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3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3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3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3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3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3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3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3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3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3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3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3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3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3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3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3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3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3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3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3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3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3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3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3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3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3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3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3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3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3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3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3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3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3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3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3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3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3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3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3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3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3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3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3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3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3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3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3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3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3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3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3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3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3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3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3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3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3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3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3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3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3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3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3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3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3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3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3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3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3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3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3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3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3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3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3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3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3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3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3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3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3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3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3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3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3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3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3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3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3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3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3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3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3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3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3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3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3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3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3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3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3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3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3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3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3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3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3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3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3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3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3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3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3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3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3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3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3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3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3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3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3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3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3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3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3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3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3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3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3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3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3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3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3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3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3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3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3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3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3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3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3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3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3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3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3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3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3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3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3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3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3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3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3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3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3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3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3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3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3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3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3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3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3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3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3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3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3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3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3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3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3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3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3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3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3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3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3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3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3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3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3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3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3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3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3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3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3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3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3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3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3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3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3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3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3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3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3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3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3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3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3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3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3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3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3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3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3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3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3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3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3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3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3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3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3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3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3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3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3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3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3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3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3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3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3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3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3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3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3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3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3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3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3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3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3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3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3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3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3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3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3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3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3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3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3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3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3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3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3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3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3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3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3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3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3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3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3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3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3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3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3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3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3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3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3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3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3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3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3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3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3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3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3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3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3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3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3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3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3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3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3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3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3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3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3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3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3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3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3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3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3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3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3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3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3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3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3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3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3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3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3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3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3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3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3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3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3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3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3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3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3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3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3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3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3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3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3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3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3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3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3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3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3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3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3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3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3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3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3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3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3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3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3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3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3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3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3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3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3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3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3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3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3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3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3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3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3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3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3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3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3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3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3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3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3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3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3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3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3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3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3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3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3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3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3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3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3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3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3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3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3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3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3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3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3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3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3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3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3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3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3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3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3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3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3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3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3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3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3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3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3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3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3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3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3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3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3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3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3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3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3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3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3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3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3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3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3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3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3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3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3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3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3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3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3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3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3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3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3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3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3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3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3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3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3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3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3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3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3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3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3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3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3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3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3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3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3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3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3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3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3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3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3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3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3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3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3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3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3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3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3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3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3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3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3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3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3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3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3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3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3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3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3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3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3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3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3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3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3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3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3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3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3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3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3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3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3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3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3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3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3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3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3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3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3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3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3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3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</sheetData>
  <mergeCells count="1">
    <mergeCell ref="B3:D3"/>
  </mergeCells>
  <dataValidations>
    <dataValidation type="list" allowBlank="1" showErrorMessage="1" sqref="D5:D23">
      <formula1>$L$9:$L$12</formula1>
    </dataValidation>
  </dataValidations>
  <printOptions/>
  <pageMargins bottom="0.75" footer="0.0" header="0.0" left="0.7" right="0.7" top="1.03125"/>
  <pageSetup paperSize="9" scale="56" orientation="landscape"/>
  <headerFooter>
    <oddHeader>&amp;L00-004&amp;CGP2002 Phase-Exit Review Checklist 09-020 09-038&lt;Project Name&gt;</oddHeader>
    <oddFooter>&amp;R&amp;P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9594"/>
    <pageSetUpPr/>
  </sheetPr>
  <sheetViews>
    <sheetView workbookViewId="0"/>
  </sheetViews>
  <sheetFormatPr customHeight="1" defaultColWidth="12.63" defaultRowHeight="15.0"/>
  <cols>
    <col customWidth="1" min="1" max="1" width="1.75"/>
    <col customWidth="1" min="2" max="2" width="4.38"/>
    <col customWidth="1" min="3" max="3" width="109.25"/>
    <col customWidth="1" min="4" max="5" width="14.75"/>
    <col customWidth="1" min="6" max="6" width="49.25"/>
    <col customWidth="1" min="7" max="9" width="9.25"/>
    <col customWidth="1" hidden="1" min="10" max="11" width="9.25"/>
    <col customWidth="1" min="12" max="26" width="9.25"/>
  </cols>
  <sheetData>
    <row r="1" ht="13.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3.5" customHeight="1">
      <c r="A2" s="2"/>
      <c r="B2" s="84"/>
      <c r="C2" s="85" t="s">
        <v>70</v>
      </c>
      <c r="D2" s="85"/>
      <c r="E2" s="86" t="s">
        <v>32</v>
      </c>
      <c r="F2" s="87" t="s">
        <v>71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3.5" customHeight="1">
      <c r="A3" s="2"/>
      <c r="B3" s="88" t="s">
        <v>18</v>
      </c>
      <c r="C3" s="61"/>
      <c r="D3" s="61"/>
      <c r="E3" s="89">
        <f>E36/(290-D36*10)</f>
        <v>0.5862068966</v>
      </c>
      <c r="F3" s="90">
        <f>E3</f>
        <v>0.5862068966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3.5" customHeight="1">
      <c r="A4" s="2"/>
      <c r="B4" s="64" t="s">
        <v>33</v>
      </c>
      <c r="C4" s="64" t="s">
        <v>34</v>
      </c>
      <c r="D4" s="91" t="s">
        <v>35</v>
      </c>
      <c r="E4" s="66" t="s">
        <v>36</v>
      </c>
      <c r="F4" s="67" t="s">
        <v>37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3.5" customHeight="1">
      <c r="A5" s="92"/>
      <c r="B5" s="93"/>
      <c r="C5" s="94" t="s">
        <v>72</v>
      </c>
      <c r="D5" s="95"/>
      <c r="E5" s="96"/>
      <c r="F5" s="97"/>
      <c r="G5" s="98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3.5" customHeight="1">
      <c r="A6" s="2"/>
      <c r="B6" s="99">
        <v>1.0</v>
      </c>
      <c r="C6" s="69" t="s">
        <v>73</v>
      </c>
      <c r="D6" s="100" t="s">
        <v>29</v>
      </c>
      <c r="E6" s="75">
        <f t="shared" ref="E6:E16" si="1">IF(D6="Yes",10,IF(D6="Yes, Partially",5,IF(D6="No",0,"-")))</f>
        <v>10</v>
      </c>
      <c r="F6" s="101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3.5" customHeight="1">
      <c r="A7" s="2"/>
      <c r="B7" s="73">
        <f t="shared" ref="B7:B16" si="2">B6+1</f>
        <v>2</v>
      </c>
      <c r="C7" s="74" t="s">
        <v>74</v>
      </c>
      <c r="D7" s="78" t="s">
        <v>29</v>
      </c>
      <c r="E7" s="71">
        <f t="shared" si="1"/>
        <v>10</v>
      </c>
      <c r="F7" s="10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3.5" customHeight="1">
      <c r="A8" s="2"/>
      <c r="B8" s="73">
        <f t="shared" si="2"/>
        <v>3</v>
      </c>
      <c r="C8" s="74" t="s">
        <v>63</v>
      </c>
      <c r="D8" s="78" t="s">
        <v>29</v>
      </c>
      <c r="E8" s="71">
        <f t="shared" si="1"/>
        <v>10</v>
      </c>
      <c r="F8" s="102"/>
      <c r="G8" s="2"/>
      <c r="H8" s="2"/>
      <c r="I8" s="2"/>
      <c r="J8" s="2"/>
      <c r="K8" s="2"/>
      <c r="L8" s="2" t="s">
        <v>29</v>
      </c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3.5" customHeight="1">
      <c r="A9" s="2"/>
      <c r="B9" s="73">
        <f t="shared" si="2"/>
        <v>4</v>
      </c>
      <c r="C9" s="74" t="s">
        <v>75</v>
      </c>
      <c r="D9" s="78" t="s">
        <v>53</v>
      </c>
      <c r="E9" s="71" t="str">
        <f t="shared" si="1"/>
        <v>-</v>
      </c>
      <c r="F9" s="102" t="s">
        <v>76</v>
      </c>
      <c r="G9" s="2"/>
      <c r="H9" s="2"/>
      <c r="I9" s="2"/>
      <c r="J9" s="2"/>
      <c r="K9" s="2"/>
      <c r="L9" s="2" t="s">
        <v>39</v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3.5" customHeight="1">
      <c r="A10" s="2"/>
      <c r="B10" s="73">
        <f t="shared" si="2"/>
        <v>5</v>
      </c>
      <c r="C10" s="74" t="s">
        <v>77</v>
      </c>
      <c r="D10" s="78" t="s">
        <v>53</v>
      </c>
      <c r="E10" s="71" t="str">
        <f t="shared" si="1"/>
        <v>-</v>
      </c>
      <c r="F10" s="102" t="s">
        <v>78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3.5" customHeight="1">
      <c r="A11" s="2"/>
      <c r="B11" s="73">
        <f t="shared" si="2"/>
        <v>6</v>
      </c>
      <c r="C11" s="74" t="s">
        <v>79</v>
      </c>
      <c r="D11" s="78" t="s">
        <v>53</v>
      </c>
      <c r="E11" s="71" t="str">
        <f t="shared" si="1"/>
        <v>-</v>
      </c>
      <c r="F11" s="102" t="s">
        <v>78</v>
      </c>
      <c r="G11" s="2"/>
      <c r="H11" s="2"/>
      <c r="I11" s="2"/>
      <c r="J11" s="2"/>
      <c r="K11" s="2"/>
      <c r="L11" s="2" t="s">
        <v>53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3.5" customHeight="1">
      <c r="A12" s="2"/>
      <c r="B12" s="73">
        <f t="shared" si="2"/>
        <v>7</v>
      </c>
      <c r="C12" s="74" t="s">
        <v>80</v>
      </c>
      <c r="D12" s="78" t="s">
        <v>53</v>
      </c>
      <c r="E12" s="71" t="str">
        <f t="shared" si="1"/>
        <v>-</v>
      </c>
      <c r="F12" s="10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3.5" customHeight="1">
      <c r="A13" s="2"/>
      <c r="B13" s="73">
        <f t="shared" si="2"/>
        <v>8</v>
      </c>
      <c r="C13" s="74" t="s">
        <v>81</v>
      </c>
      <c r="D13" s="78" t="s">
        <v>29</v>
      </c>
      <c r="E13" s="71">
        <f t="shared" si="1"/>
        <v>10</v>
      </c>
      <c r="F13" s="10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3.5" customHeight="1">
      <c r="A14" s="2"/>
      <c r="B14" s="73">
        <f t="shared" si="2"/>
        <v>9</v>
      </c>
      <c r="C14" s="74" t="s">
        <v>82</v>
      </c>
      <c r="D14" s="78" t="s">
        <v>29</v>
      </c>
      <c r="E14" s="71">
        <f t="shared" si="1"/>
        <v>10</v>
      </c>
      <c r="F14" s="10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3.5" customHeight="1">
      <c r="A15" s="2"/>
      <c r="B15" s="73">
        <f t="shared" si="2"/>
        <v>10</v>
      </c>
      <c r="C15" s="74" t="s">
        <v>83</v>
      </c>
      <c r="D15" s="78" t="s">
        <v>29</v>
      </c>
      <c r="E15" s="71">
        <f t="shared" si="1"/>
        <v>10</v>
      </c>
      <c r="F15" s="102" t="s">
        <v>84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3.5" customHeight="1">
      <c r="A16" s="2"/>
      <c r="B16" s="103">
        <f t="shared" si="2"/>
        <v>11</v>
      </c>
      <c r="C16" s="104" t="s">
        <v>85</v>
      </c>
      <c r="D16" s="105" t="s">
        <v>53</v>
      </c>
      <c r="E16" s="106" t="str">
        <f t="shared" si="1"/>
        <v>-</v>
      </c>
      <c r="F16" s="107" t="s">
        <v>78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3.5" customHeight="1">
      <c r="A17" s="92"/>
      <c r="B17" s="93"/>
      <c r="C17" s="94" t="s">
        <v>72</v>
      </c>
      <c r="D17" s="96"/>
      <c r="E17" s="96"/>
      <c r="F17" s="108"/>
      <c r="G17" s="98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3.5" customHeight="1">
      <c r="A18" s="2"/>
      <c r="B18" s="109">
        <v>12.0</v>
      </c>
      <c r="C18" s="69" t="s">
        <v>86</v>
      </c>
      <c r="D18" s="100" t="s">
        <v>29</v>
      </c>
      <c r="E18" s="100">
        <f t="shared" ref="E18:E35" si="3">IF(D18="Yes",10,IF(D18="Yes, Partially",5,IF(D18="No",0,"-")))</f>
        <v>10</v>
      </c>
      <c r="F18" s="110" t="s">
        <v>87</v>
      </c>
      <c r="G18" s="2"/>
      <c r="H18" s="2"/>
      <c r="I18" s="2"/>
      <c r="J18" s="2"/>
      <c r="K18" s="2" t="s">
        <v>29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3.5" customHeight="1">
      <c r="A19" s="2"/>
      <c r="B19" s="99">
        <f t="shared" ref="B19:B35" si="4">B18+1</f>
        <v>13</v>
      </c>
      <c r="C19" s="111" t="s">
        <v>88</v>
      </c>
      <c r="D19" s="78" t="s">
        <v>29</v>
      </c>
      <c r="E19" s="71">
        <f t="shared" si="3"/>
        <v>10</v>
      </c>
      <c r="F19" s="102" t="s">
        <v>89</v>
      </c>
      <c r="G19" s="2"/>
      <c r="H19" s="2"/>
      <c r="I19" s="2"/>
      <c r="J19" s="2"/>
      <c r="K19" s="2" t="s">
        <v>39</v>
      </c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3.5" customHeight="1">
      <c r="A20" s="2"/>
      <c r="B20" s="73">
        <f t="shared" si="4"/>
        <v>14</v>
      </c>
      <c r="C20" s="111" t="s">
        <v>90</v>
      </c>
      <c r="D20" s="78" t="s">
        <v>30</v>
      </c>
      <c r="E20" s="71">
        <f t="shared" si="3"/>
        <v>0</v>
      </c>
      <c r="F20" s="102" t="s">
        <v>91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3.5" customHeight="1">
      <c r="A21" s="2"/>
      <c r="B21" s="73">
        <f t="shared" si="4"/>
        <v>15</v>
      </c>
      <c r="C21" s="111" t="s">
        <v>92</v>
      </c>
      <c r="D21" s="78" t="s">
        <v>29</v>
      </c>
      <c r="E21" s="71">
        <f t="shared" si="3"/>
        <v>10</v>
      </c>
      <c r="F21" s="102" t="s">
        <v>93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3.5" customHeight="1">
      <c r="A22" s="2"/>
      <c r="B22" s="73">
        <f t="shared" si="4"/>
        <v>16</v>
      </c>
      <c r="C22" s="112" t="s">
        <v>94</v>
      </c>
      <c r="D22" s="78" t="s">
        <v>30</v>
      </c>
      <c r="E22" s="71">
        <f t="shared" si="3"/>
        <v>0</v>
      </c>
      <c r="F22" s="102" t="s">
        <v>95</v>
      </c>
      <c r="G22" s="2"/>
      <c r="H22" s="2"/>
      <c r="I22" s="2"/>
      <c r="J22" s="2"/>
      <c r="K22" s="2" t="s">
        <v>30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3.5" customHeight="1">
      <c r="A23" s="2"/>
      <c r="B23" s="73">
        <f t="shared" si="4"/>
        <v>17</v>
      </c>
      <c r="C23" s="112" t="s">
        <v>96</v>
      </c>
      <c r="D23" s="78" t="s">
        <v>30</v>
      </c>
      <c r="E23" s="71">
        <f t="shared" si="3"/>
        <v>0</v>
      </c>
      <c r="F23" s="102" t="s">
        <v>97</v>
      </c>
      <c r="G23" s="2"/>
      <c r="H23" s="2"/>
      <c r="I23" s="2"/>
      <c r="J23" s="2"/>
      <c r="K23" s="2" t="s">
        <v>53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3.5" customHeight="1">
      <c r="A24" s="2"/>
      <c r="B24" s="73">
        <f t="shared" si="4"/>
        <v>18</v>
      </c>
      <c r="C24" s="112" t="s">
        <v>98</v>
      </c>
      <c r="D24" s="78" t="s">
        <v>30</v>
      </c>
      <c r="E24" s="71">
        <f t="shared" si="3"/>
        <v>0</v>
      </c>
      <c r="F24" s="102" t="s">
        <v>99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3.5" customHeight="1">
      <c r="A25" s="2"/>
      <c r="B25" s="73">
        <f t="shared" si="4"/>
        <v>19</v>
      </c>
      <c r="C25" s="112" t="s">
        <v>100</v>
      </c>
      <c r="D25" s="78" t="s">
        <v>30</v>
      </c>
      <c r="E25" s="71">
        <f t="shared" si="3"/>
        <v>0</v>
      </c>
      <c r="F25" s="102" t="s">
        <v>101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3.5" customHeight="1">
      <c r="A26" s="2"/>
      <c r="B26" s="73">
        <f t="shared" si="4"/>
        <v>20</v>
      </c>
      <c r="C26" s="111" t="s">
        <v>102</v>
      </c>
      <c r="D26" s="78" t="s">
        <v>29</v>
      </c>
      <c r="E26" s="71">
        <f t="shared" si="3"/>
        <v>10</v>
      </c>
      <c r="F26" s="102" t="s">
        <v>103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3.5" customHeight="1">
      <c r="A27" s="2"/>
      <c r="B27" s="73">
        <f t="shared" si="4"/>
        <v>21</v>
      </c>
      <c r="C27" s="112" t="s">
        <v>104</v>
      </c>
      <c r="D27" s="78" t="s">
        <v>29</v>
      </c>
      <c r="E27" s="71">
        <f t="shared" si="3"/>
        <v>10</v>
      </c>
      <c r="F27" s="102" t="s">
        <v>105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3.5" customHeight="1">
      <c r="A28" s="2"/>
      <c r="B28" s="73">
        <f t="shared" si="4"/>
        <v>22</v>
      </c>
      <c r="C28" s="112" t="s">
        <v>106</v>
      </c>
      <c r="D28" s="78" t="s">
        <v>29</v>
      </c>
      <c r="E28" s="71">
        <f t="shared" si="3"/>
        <v>10</v>
      </c>
      <c r="F28" s="102" t="s">
        <v>107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3.5" customHeight="1">
      <c r="A29" s="2"/>
      <c r="B29" s="73">
        <f t="shared" si="4"/>
        <v>23</v>
      </c>
      <c r="C29" s="112" t="s">
        <v>108</v>
      </c>
      <c r="D29" s="78" t="s">
        <v>29</v>
      </c>
      <c r="E29" s="71">
        <f t="shared" si="3"/>
        <v>10</v>
      </c>
      <c r="F29" s="102" t="s">
        <v>109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3.5" customHeight="1">
      <c r="A30" s="2"/>
      <c r="B30" s="73">
        <f t="shared" si="4"/>
        <v>24</v>
      </c>
      <c r="C30" s="112" t="s">
        <v>110</v>
      </c>
      <c r="D30" s="78" t="s">
        <v>39</v>
      </c>
      <c r="E30" s="71">
        <f t="shared" si="3"/>
        <v>5</v>
      </c>
      <c r="F30" s="102" t="s">
        <v>111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3.5" customHeight="1">
      <c r="A31" s="2"/>
      <c r="B31" s="73">
        <f t="shared" si="4"/>
        <v>25</v>
      </c>
      <c r="C31" s="112" t="s">
        <v>112</v>
      </c>
      <c r="D31" s="78" t="s">
        <v>30</v>
      </c>
      <c r="E31" s="71">
        <f t="shared" si="3"/>
        <v>0</v>
      </c>
      <c r="F31" s="102" t="s">
        <v>113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3.5" customHeight="1">
      <c r="A32" s="2"/>
      <c r="B32" s="73">
        <f t="shared" si="4"/>
        <v>26</v>
      </c>
      <c r="C32" s="112" t="s">
        <v>114</v>
      </c>
      <c r="D32" s="78" t="s">
        <v>29</v>
      </c>
      <c r="E32" s="71">
        <f t="shared" si="3"/>
        <v>10</v>
      </c>
      <c r="F32" s="10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3.5" customHeight="1">
      <c r="A33" s="2"/>
      <c r="B33" s="73">
        <f t="shared" si="4"/>
        <v>27</v>
      </c>
      <c r="C33" s="112" t="s">
        <v>115</v>
      </c>
      <c r="D33" s="78" t="s">
        <v>29</v>
      </c>
      <c r="E33" s="71">
        <f t="shared" si="3"/>
        <v>10</v>
      </c>
      <c r="F33" s="10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3.5" customHeight="1">
      <c r="A34" s="2"/>
      <c r="B34" s="73">
        <f t="shared" si="4"/>
        <v>28</v>
      </c>
      <c r="C34" s="74" t="s">
        <v>116</v>
      </c>
      <c r="D34" s="78" t="s">
        <v>29</v>
      </c>
      <c r="E34" s="71">
        <f t="shared" si="3"/>
        <v>10</v>
      </c>
      <c r="F34" s="102" t="s">
        <v>117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8.0" customHeight="1">
      <c r="A35" s="2"/>
      <c r="B35" s="73">
        <f t="shared" si="4"/>
        <v>29</v>
      </c>
      <c r="C35" s="77" t="s">
        <v>118</v>
      </c>
      <c r="D35" s="113" t="s">
        <v>39</v>
      </c>
      <c r="E35" s="114">
        <f t="shared" si="3"/>
        <v>5</v>
      </c>
      <c r="F35" s="107" t="s">
        <v>119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8.0" customHeight="1">
      <c r="A36" s="2"/>
      <c r="B36" s="115"/>
      <c r="C36" s="116" t="s">
        <v>69</v>
      </c>
      <c r="D36" s="117">
        <f>COUNTIF(D18:D35,"N/A")</f>
        <v>0</v>
      </c>
      <c r="E36" s="117">
        <f>SUM(E6:E35)</f>
        <v>170</v>
      </c>
      <c r="F36" s="118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8.0" customHeight="1">
      <c r="A37" s="2"/>
      <c r="B37" s="119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3.5" customHeight="1">
      <c r="A38" s="2"/>
      <c r="B38" s="119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3.5" customHeight="1">
      <c r="A39" s="2"/>
      <c r="B39" s="119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3.5" customHeight="1">
      <c r="A40" s="2"/>
      <c r="B40" s="119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3.5" customHeight="1">
      <c r="A41" s="2"/>
      <c r="B41" s="119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3.5" customHeight="1">
      <c r="A42" s="2"/>
      <c r="B42" s="119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3.5" customHeight="1">
      <c r="A43" s="2"/>
      <c r="B43" s="119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3.5" customHeight="1">
      <c r="A44" s="2"/>
      <c r="B44" s="119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3.5" customHeight="1">
      <c r="A45" s="2"/>
      <c r="B45" s="119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3.5" customHeight="1">
      <c r="A46" s="2"/>
      <c r="B46" s="119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3.5" customHeight="1">
      <c r="A47" s="2"/>
      <c r="B47" s="119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3.5" customHeight="1">
      <c r="A48" s="2"/>
      <c r="B48" s="119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3.5" customHeight="1">
      <c r="A49" s="2"/>
      <c r="B49" s="119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3.5" customHeight="1">
      <c r="A50" s="2"/>
      <c r="B50" s="119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3.5" customHeight="1">
      <c r="A51" s="2"/>
      <c r="B51" s="119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3.5" customHeight="1">
      <c r="A52" s="2"/>
      <c r="B52" s="119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3.5" customHeight="1">
      <c r="A53" s="2"/>
      <c r="B53" s="119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3.5" customHeight="1">
      <c r="A54" s="2"/>
      <c r="B54" s="119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3.5" customHeight="1">
      <c r="A55" s="2"/>
      <c r="B55" s="119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3.5" customHeight="1">
      <c r="A56" s="2"/>
      <c r="B56" s="119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3.5" customHeight="1">
      <c r="A57" s="2"/>
      <c r="B57" s="119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3.5" customHeight="1">
      <c r="A58" s="2"/>
      <c r="B58" s="119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3.5" customHeight="1">
      <c r="A59" s="2"/>
      <c r="B59" s="119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3.5" customHeight="1">
      <c r="A60" s="2"/>
      <c r="B60" s="119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3.5" customHeight="1">
      <c r="A61" s="2"/>
      <c r="B61" s="119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3.5" customHeight="1">
      <c r="A62" s="2"/>
      <c r="B62" s="119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3.5" customHeight="1">
      <c r="A63" s="2"/>
      <c r="B63" s="119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3.5" customHeight="1">
      <c r="A64" s="2"/>
      <c r="B64" s="119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3.5" customHeight="1">
      <c r="A65" s="2"/>
      <c r="B65" s="119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3.5" customHeight="1">
      <c r="A66" s="2"/>
      <c r="B66" s="119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3.5" customHeight="1">
      <c r="A67" s="2"/>
      <c r="B67" s="119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3.5" customHeight="1">
      <c r="A68" s="2"/>
      <c r="B68" s="119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3.5" customHeight="1">
      <c r="A69" s="2"/>
      <c r="B69" s="119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3.5" customHeight="1">
      <c r="A70" s="2"/>
      <c r="B70" s="119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3.5" customHeight="1">
      <c r="A71" s="2"/>
      <c r="B71" s="119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3.5" customHeight="1">
      <c r="A72" s="2"/>
      <c r="B72" s="119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3.5" customHeight="1">
      <c r="A73" s="2"/>
      <c r="B73" s="119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3.5" customHeight="1">
      <c r="A74" s="2"/>
      <c r="B74" s="119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3.5" customHeight="1">
      <c r="A75" s="2"/>
      <c r="B75" s="119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3.5" customHeight="1">
      <c r="A76" s="2"/>
      <c r="B76" s="119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3.5" customHeight="1">
      <c r="A77" s="2"/>
      <c r="B77" s="119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3.5" customHeight="1">
      <c r="A78" s="2"/>
      <c r="B78" s="119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3.5" customHeight="1">
      <c r="A79" s="2"/>
      <c r="B79" s="119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3.5" customHeight="1">
      <c r="A80" s="2"/>
      <c r="B80" s="119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3.5" customHeight="1">
      <c r="A81" s="2"/>
      <c r="B81" s="119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3.5" customHeight="1">
      <c r="A82" s="2"/>
      <c r="B82" s="119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3.5" customHeight="1">
      <c r="A83" s="2"/>
      <c r="B83" s="119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3.5" customHeight="1">
      <c r="A84" s="2"/>
      <c r="B84" s="119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3.5" customHeight="1">
      <c r="A85" s="2"/>
      <c r="B85" s="119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3.5" customHeight="1">
      <c r="A86" s="2"/>
      <c r="B86" s="119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3.5" customHeight="1">
      <c r="A87" s="2"/>
      <c r="B87" s="119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3.5" customHeight="1">
      <c r="A88" s="2"/>
      <c r="B88" s="119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3.5" customHeight="1">
      <c r="A89" s="2"/>
      <c r="B89" s="119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3.5" customHeight="1">
      <c r="A90" s="2"/>
      <c r="B90" s="119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3.5" customHeight="1">
      <c r="A91" s="2"/>
      <c r="B91" s="119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3.5" customHeight="1">
      <c r="A92" s="2"/>
      <c r="B92" s="119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3.5" customHeight="1">
      <c r="A93" s="2"/>
      <c r="B93" s="119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3.5" customHeight="1">
      <c r="A94" s="2"/>
      <c r="B94" s="119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3.5" customHeight="1">
      <c r="A95" s="2"/>
      <c r="B95" s="119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3.5" customHeight="1">
      <c r="A96" s="2"/>
      <c r="B96" s="119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3.5" customHeight="1">
      <c r="A97" s="2"/>
      <c r="B97" s="119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3.5" customHeight="1">
      <c r="A98" s="2"/>
      <c r="B98" s="119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3.5" customHeight="1">
      <c r="A99" s="2"/>
      <c r="B99" s="119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3.5" customHeight="1">
      <c r="A100" s="2"/>
      <c r="B100" s="119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3.5" customHeight="1">
      <c r="A101" s="2"/>
      <c r="B101" s="119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3.5" customHeight="1">
      <c r="A102" s="2"/>
      <c r="B102" s="119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3.5" customHeight="1">
      <c r="A103" s="2"/>
      <c r="B103" s="119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3.5" customHeight="1">
      <c r="A104" s="2"/>
      <c r="B104" s="119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3.5" customHeight="1">
      <c r="A105" s="2"/>
      <c r="B105" s="119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3.5" customHeight="1">
      <c r="A106" s="2"/>
      <c r="B106" s="119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3.5" customHeight="1">
      <c r="A107" s="2"/>
      <c r="B107" s="119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3.5" customHeight="1">
      <c r="A108" s="2"/>
      <c r="B108" s="119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3.5" customHeight="1">
      <c r="A109" s="2"/>
      <c r="B109" s="119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3.5" customHeight="1">
      <c r="A110" s="2"/>
      <c r="B110" s="119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3.5" customHeight="1">
      <c r="A111" s="2"/>
      <c r="B111" s="119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3.5" customHeight="1">
      <c r="A112" s="2"/>
      <c r="B112" s="119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3.5" customHeight="1">
      <c r="A113" s="2"/>
      <c r="B113" s="119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3.5" customHeight="1">
      <c r="A114" s="2"/>
      <c r="B114" s="119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3.5" customHeight="1">
      <c r="A115" s="2"/>
      <c r="B115" s="119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3.5" customHeight="1">
      <c r="A116" s="2"/>
      <c r="B116" s="119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3.5" customHeight="1">
      <c r="A117" s="2"/>
      <c r="B117" s="119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3.5" customHeight="1">
      <c r="A118" s="2"/>
      <c r="B118" s="119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3.5" customHeight="1">
      <c r="A119" s="2"/>
      <c r="B119" s="119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3.5" customHeight="1">
      <c r="A120" s="2"/>
      <c r="B120" s="119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3.5" customHeight="1">
      <c r="A121" s="2"/>
      <c r="B121" s="119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3.5" customHeight="1">
      <c r="A122" s="2"/>
      <c r="B122" s="119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3.5" customHeight="1">
      <c r="A123" s="2"/>
      <c r="B123" s="119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3.5" customHeight="1">
      <c r="A124" s="2"/>
      <c r="B124" s="119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3.5" customHeight="1">
      <c r="A125" s="2"/>
      <c r="B125" s="119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3.5" customHeight="1">
      <c r="A126" s="2"/>
      <c r="B126" s="119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3.5" customHeight="1">
      <c r="A127" s="2"/>
      <c r="B127" s="119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3.5" customHeight="1">
      <c r="A128" s="2"/>
      <c r="B128" s="119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3.5" customHeight="1">
      <c r="A129" s="2"/>
      <c r="B129" s="119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3.5" customHeight="1">
      <c r="A130" s="2"/>
      <c r="B130" s="119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3.5" customHeight="1">
      <c r="A131" s="2"/>
      <c r="B131" s="119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3.5" customHeight="1">
      <c r="A132" s="2"/>
      <c r="B132" s="119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3.5" customHeight="1">
      <c r="A133" s="2"/>
      <c r="B133" s="119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3.5" customHeight="1">
      <c r="A134" s="2"/>
      <c r="B134" s="119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3.5" customHeight="1">
      <c r="A135" s="2"/>
      <c r="B135" s="119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3.5" customHeight="1">
      <c r="A136" s="2"/>
      <c r="B136" s="119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3.5" customHeight="1">
      <c r="A137" s="2"/>
      <c r="B137" s="119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3.5" customHeight="1">
      <c r="A138" s="2"/>
      <c r="B138" s="119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3.5" customHeight="1">
      <c r="A139" s="2"/>
      <c r="B139" s="119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3.5" customHeight="1">
      <c r="A140" s="2"/>
      <c r="B140" s="119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3.5" customHeight="1">
      <c r="A141" s="2"/>
      <c r="B141" s="119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3.5" customHeight="1">
      <c r="A142" s="2"/>
      <c r="B142" s="119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3.5" customHeight="1">
      <c r="A143" s="2"/>
      <c r="B143" s="119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3.5" customHeight="1">
      <c r="A144" s="2"/>
      <c r="B144" s="119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3.5" customHeight="1">
      <c r="A145" s="2"/>
      <c r="B145" s="119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3.5" customHeight="1">
      <c r="A146" s="2"/>
      <c r="B146" s="119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3.5" customHeight="1">
      <c r="A147" s="2"/>
      <c r="B147" s="119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3.5" customHeight="1">
      <c r="A148" s="2"/>
      <c r="B148" s="119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3.5" customHeight="1">
      <c r="A149" s="2"/>
      <c r="B149" s="119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3.5" customHeight="1">
      <c r="A150" s="2"/>
      <c r="B150" s="119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3.5" customHeight="1">
      <c r="A151" s="2"/>
      <c r="B151" s="119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3.5" customHeight="1">
      <c r="A152" s="2"/>
      <c r="B152" s="119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3.5" customHeight="1">
      <c r="A153" s="2"/>
      <c r="B153" s="119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3.5" customHeight="1">
      <c r="A154" s="2"/>
      <c r="B154" s="119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3.5" customHeight="1">
      <c r="A155" s="2"/>
      <c r="B155" s="119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3.5" customHeight="1">
      <c r="A156" s="2"/>
      <c r="B156" s="119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3.5" customHeight="1">
      <c r="A157" s="2"/>
      <c r="B157" s="119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3.5" customHeight="1">
      <c r="A158" s="2"/>
      <c r="B158" s="119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3.5" customHeight="1">
      <c r="A159" s="2"/>
      <c r="B159" s="119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3.5" customHeight="1">
      <c r="A160" s="2"/>
      <c r="B160" s="119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3.5" customHeight="1">
      <c r="A161" s="2"/>
      <c r="B161" s="119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3.5" customHeight="1">
      <c r="A162" s="2"/>
      <c r="B162" s="119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3.5" customHeight="1">
      <c r="A163" s="2"/>
      <c r="B163" s="119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3.5" customHeight="1">
      <c r="A164" s="2"/>
      <c r="B164" s="119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3.5" customHeight="1">
      <c r="A165" s="2"/>
      <c r="B165" s="119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3.5" customHeight="1">
      <c r="A166" s="2"/>
      <c r="B166" s="119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3.5" customHeight="1">
      <c r="A167" s="2"/>
      <c r="B167" s="119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3.5" customHeight="1">
      <c r="A168" s="2"/>
      <c r="B168" s="119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3.5" customHeight="1">
      <c r="A169" s="2"/>
      <c r="B169" s="119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3.5" customHeight="1">
      <c r="A170" s="2"/>
      <c r="B170" s="119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3.5" customHeight="1">
      <c r="A171" s="2"/>
      <c r="B171" s="119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3.5" customHeight="1">
      <c r="A172" s="2"/>
      <c r="B172" s="119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3.5" customHeight="1">
      <c r="A173" s="2"/>
      <c r="B173" s="119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3.5" customHeight="1">
      <c r="A174" s="2"/>
      <c r="B174" s="119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3.5" customHeight="1">
      <c r="A175" s="2"/>
      <c r="B175" s="119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3.5" customHeight="1">
      <c r="A176" s="2"/>
      <c r="B176" s="119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3.5" customHeight="1">
      <c r="A177" s="2"/>
      <c r="B177" s="119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3.5" customHeight="1">
      <c r="A178" s="2"/>
      <c r="B178" s="119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3.5" customHeight="1">
      <c r="A179" s="2"/>
      <c r="B179" s="119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3.5" customHeight="1">
      <c r="A180" s="2"/>
      <c r="B180" s="119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3.5" customHeight="1">
      <c r="A181" s="2"/>
      <c r="B181" s="119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3.5" customHeight="1">
      <c r="A182" s="2"/>
      <c r="B182" s="119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3.5" customHeight="1">
      <c r="A183" s="2"/>
      <c r="B183" s="119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3.5" customHeight="1">
      <c r="A184" s="2"/>
      <c r="B184" s="119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3.5" customHeight="1">
      <c r="A185" s="2"/>
      <c r="B185" s="119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3.5" customHeight="1">
      <c r="A186" s="2"/>
      <c r="B186" s="119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3.5" customHeight="1">
      <c r="A187" s="2"/>
      <c r="B187" s="119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3.5" customHeight="1">
      <c r="A188" s="2"/>
      <c r="B188" s="119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3.5" customHeight="1">
      <c r="A189" s="2"/>
      <c r="B189" s="119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3.5" customHeight="1">
      <c r="A190" s="2"/>
      <c r="B190" s="119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3.5" customHeight="1">
      <c r="A191" s="2"/>
      <c r="B191" s="119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3.5" customHeight="1">
      <c r="A192" s="2"/>
      <c r="B192" s="119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3.5" customHeight="1">
      <c r="A193" s="2"/>
      <c r="B193" s="119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3.5" customHeight="1">
      <c r="A194" s="2"/>
      <c r="B194" s="119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3.5" customHeight="1">
      <c r="A195" s="2"/>
      <c r="B195" s="119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3.5" customHeight="1">
      <c r="A196" s="2"/>
      <c r="B196" s="119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3.5" customHeight="1">
      <c r="A197" s="2"/>
      <c r="B197" s="119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3.5" customHeight="1">
      <c r="A198" s="2"/>
      <c r="B198" s="119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3.5" customHeight="1">
      <c r="A199" s="2"/>
      <c r="B199" s="119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3.5" customHeight="1">
      <c r="A200" s="2"/>
      <c r="B200" s="119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3.5" customHeight="1">
      <c r="A201" s="2"/>
      <c r="B201" s="119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3.5" customHeight="1">
      <c r="A202" s="2"/>
      <c r="B202" s="119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3.5" customHeight="1">
      <c r="A203" s="2"/>
      <c r="B203" s="119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3.5" customHeight="1">
      <c r="A204" s="2"/>
      <c r="B204" s="119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3.5" customHeight="1">
      <c r="A205" s="2"/>
      <c r="B205" s="119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3.5" customHeight="1">
      <c r="A206" s="2"/>
      <c r="B206" s="119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3.5" customHeight="1">
      <c r="A207" s="2"/>
      <c r="B207" s="119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3.5" customHeight="1">
      <c r="A208" s="2"/>
      <c r="B208" s="119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3.5" customHeight="1">
      <c r="A209" s="2"/>
      <c r="B209" s="119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3.5" customHeight="1">
      <c r="A210" s="2"/>
      <c r="B210" s="119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3.5" customHeight="1">
      <c r="A211" s="2"/>
      <c r="B211" s="119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3.5" customHeight="1">
      <c r="A212" s="2"/>
      <c r="B212" s="119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3.5" customHeight="1">
      <c r="A213" s="2"/>
      <c r="B213" s="119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3.5" customHeight="1">
      <c r="A214" s="2"/>
      <c r="B214" s="119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3.5" customHeight="1">
      <c r="A215" s="2"/>
      <c r="B215" s="119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3.5" customHeight="1">
      <c r="A216" s="2"/>
      <c r="B216" s="119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3.5" customHeight="1">
      <c r="A217" s="2"/>
      <c r="B217" s="119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3.5" customHeight="1">
      <c r="A218" s="2"/>
      <c r="B218" s="119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3.5" customHeight="1">
      <c r="A219" s="2"/>
      <c r="B219" s="119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3.5" customHeight="1">
      <c r="A220" s="2"/>
      <c r="B220" s="119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3.5" customHeight="1">
      <c r="A221" s="2"/>
      <c r="B221" s="119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3.5" customHeight="1">
      <c r="A222" s="2"/>
      <c r="B222" s="119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3.5" customHeight="1">
      <c r="A223" s="2"/>
      <c r="B223" s="119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3.5" customHeight="1">
      <c r="A224" s="2"/>
      <c r="B224" s="119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3.5" customHeight="1">
      <c r="A225" s="2"/>
      <c r="B225" s="119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3.5" customHeight="1">
      <c r="A226" s="2"/>
      <c r="B226" s="119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3.5" customHeight="1">
      <c r="A227" s="2"/>
      <c r="B227" s="119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3.5" customHeight="1">
      <c r="A228" s="2"/>
      <c r="B228" s="119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3.5" customHeight="1">
      <c r="A229" s="2"/>
      <c r="B229" s="119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3.5" customHeight="1">
      <c r="A230" s="2"/>
      <c r="B230" s="119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3.5" customHeight="1">
      <c r="A231" s="2"/>
      <c r="B231" s="119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3.5" customHeight="1">
      <c r="A232" s="2"/>
      <c r="B232" s="119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3.5" customHeight="1">
      <c r="A233" s="2"/>
      <c r="B233" s="119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3.5" customHeight="1">
      <c r="A234" s="2"/>
      <c r="B234" s="119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3.5" customHeight="1">
      <c r="A235" s="2"/>
      <c r="B235" s="119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3.5" customHeight="1">
      <c r="A236" s="2"/>
      <c r="B236" s="119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3.5" customHeight="1">
      <c r="A237" s="2"/>
      <c r="B237" s="119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3.5" customHeight="1">
      <c r="A238" s="2"/>
      <c r="B238" s="119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3.5" customHeight="1">
      <c r="A239" s="2"/>
      <c r="B239" s="119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3.5" customHeight="1">
      <c r="A240" s="2"/>
      <c r="B240" s="119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3.5" customHeight="1">
      <c r="A241" s="2"/>
      <c r="B241" s="119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3.5" customHeight="1">
      <c r="A242" s="2"/>
      <c r="B242" s="119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3.5" customHeight="1">
      <c r="A243" s="2"/>
      <c r="B243" s="119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3.5" customHeight="1">
      <c r="A244" s="2"/>
      <c r="B244" s="119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3.5" customHeight="1">
      <c r="A245" s="2"/>
      <c r="B245" s="119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3.5" customHeight="1">
      <c r="A246" s="2"/>
      <c r="B246" s="119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3.5" customHeight="1">
      <c r="A247" s="2"/>
      <c r="B247" s="119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3.5" customHeight="1">
      <c r="A248" s="2"/>
      <c r="B248" s="119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3.5" customHeight="1">
      <c r="A249" s="2"/>
      <c r="B249" s="119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3.5" customHeight="1">
      <c r="A250" s="2"/>
      <c r="B250" s="119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3.5" customHeight="1">
      <c r="A251" s="2"/>
      <c r="B251" s="119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3.5" customHeight="1">
      <c r="A252" s="2"/>
      <c r="B252" s="119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3.5" customHeight="1">
      <c r="A253" s="2"/>
      <c r="B253" s="119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3.5" customHeight="1">
      <c r="A254" s="2"/>
      <c r="B254" s="119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3.5" customHeight="1">
      <c r="A255" s="2"/>
      <c r="B255" s="119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3.5" customHeight="1">
      <c r="A256" s="2"/>
      <c r="B256" s="119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3.5" customHeight="1">
      <c r="A257" s="2"/>
      <c r="B257" s="119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3.5" customHeight="1">
      <c r="A258" s="2"/>
      <c r="B258" s="119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3.5" customHeight="1">
      <c r="A259" s="2"/>
      <c r="B259" s="119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3.5" customHeight="1">
      <c r="A260" s="2"/>
      <c r="B260" s="119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3.5" customHeight="1">
      <c r="A261" s="2"/>
      <c r="B261" s="119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3.5" customHeight="1">
      <c r="A262" s="2"/>
      <c r="B262" s="119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3.5" customHeight="1">
      <c r="A263" s="2"/>
      <c r="B263" s="119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3.5" customHeight="1">
      <c r="A264" s="2"/>
      <c r="B264" s="119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3.5" customHeight="1">
      <c r="A265" s="2"/>
      <c r="B265" s="119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3.5" customHeight="1">
      <c r="A266" s="2"/>
      <c r="B266" s="119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3.5" customHeight="1">
      <c r="A267" s="2"/>
      <c r="B267" s="119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3.5" customHeight="1">
      <c r="A268" s="2"/>
      <c r="B268" s="119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3.5" customHeight="1">
      <c r="A269" s="2"/>
      <c r="B269" s="119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3.5" customHeight="1">
      <c r="A270" s="2"/>
      <c r="B270" s="119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3.5" customHeight="1">
      <c r="A271" s="2"/>
      <c r="B271" s="119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3.5" customHeight="1">
      <c r="A272" s="2"/>
      <c r="B272" s="119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3.5" customHeight="1">
      <c r="A273" s="2"/>
      <c r="B273" s="119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3.5" customHeight="1">
      <c r="A274" s="2"/>
      <c r="B274" s="119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3.5" customHeight="1">
      <c r="A275" s="2"/>
      <c r="B275" s="119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3.5" customHeight="1">
      <c r="A276" s="2"/>
      <c r="B276" s="119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3.5" customHeight="1">
      <c r="A277" s="2"/>
      <c r="B277" s="119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3.5" customHeight="1">
      <c r="A278" s="2"/>
      <c r="B278" s="119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3.5" customHeight="1">
      <c r="A279" s="2"/>
      <c r="B279" s="119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3.5" customHeight="1">
      <c r="A280" s="2"/>
      <c r="B280" s="119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3.5" customHeight="1">
      <c r="A281" s="2"/>
      <c r="B281" s="119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3.5" customHeight="1">
      <c r="A282" s="2"/>
      <c r="B282" s="119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3.5" customHeight="1">
      <c r="A283" s="2"/>
      <c r="B283" s="119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3.5" customHeight="1">
      <c r="A284" s="2"/>
      <c r="B284" s="119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3.5" customHeight="1">
      <c r="A285" s="2"/>
      <c r="B285" s="119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3.5" customHeight="1">
      <c r="A286" s="2"/>
      <c r="B286" s="119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3.5" customHeight="1">
      <c r="A287" s="2"/>
      <c r="B287" s="119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3.5" customHeight="1">
      <c r="A288" s="2"/>
      <c r="B288" s="119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3.5" customHeight="1">
      <c r="A289" s="2"/>
      <c r="B289" s="119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3.5" customHeight="1">
      <c r="A290" s="2"/>
      <c r="B290" s="119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3.5" customHeight="1">
      <c r="A291" s="2"/>
      <c r="B291" s="119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3.5" customHeight="1">
      <c r="A292" s="2"/>
      <c r="B292" s="119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3.5" customHeight="1">
      <c r="A293" s="2"/>
      <c r="B293" s="119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3.5" customHeight="1">
      <c r="A294" s="2"/>
      <c r="B294" s="119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3.5" customHeight="1">
      <c r="A295" s="2"/>
      <c r="B295" s="119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3.5" customHeight="1">
      <c r="A296" s="2"/>
      <c r="B296" s="119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3.5" customHeight="1">
      <c r="A297" s="2"/>
      <c r="B297" s="119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3.5" customHeight="1">
      <c r="A298" s="2"/>
      <c r="B298" s="119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3.5" customHeight="1">
      <c r="A299" s="2"/>
      <c r="B299" s="119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3.5" customHeight="1">
      <c r="A300" s="2"/>
      <c r="B300" s="119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3.5" customHeight="1">
      <c r="A301" s="2"/>
      <c r="B301" s="119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3.5" customHeight="1">
      <c r="A302" s="2"/>
      <c r="B302" s="119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3.5" customHeight="1">
      <c r="A303" s="2"/>
      <c r="B303" s="119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3.5" customHeight="1">
      <c r="A304" s="2"/>
      <c r="B304" s="119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3.5" customHeight="1">
      <c r="A305" s="2"/>
      <c r="B305" s="119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3.5" customHeight="1">
      <c r="A306" s="2"/>
      <c r="B306" s="119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3.5" customHeight="1">
      <c r="A307" s="2"/>
      <c r="B307" s="119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3.5" customHeight="1">
      <c r="A308" s="2"/>
      <c r="B308" s="119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3.5" customHeight="1">
      <c r="A309" s="2"/>
      <c r="B309" s="119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3.5" customHeight="1">
      <c r="A310" s="2"/>
      <c r="B310" s="119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3.5" customHeight="1">
      <c r="A311" s="2"/>
      <c r="B311" s="119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3.5" customHeight="1">
      <c r="A312" s="2"/>
      <c r="B312" s="119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3.5" customHeight="1">
      <c r="A313" s="2"/>
      <c r="B313" s="119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3.5" customHeight="1">
      <c r="A314" s="2"/>
      <c r="B314" s="119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3.5" customHeight="1">
      <c r="A315" s="2"/>
      <c r="B315" s="119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3.5" customHeight="1">
      <c r="A316" s="2"/>
      <c r="B316" s="119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3.5" customHeight="1">
      <c r="A317" s="2"/>
      <c r="B317" s="119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3.5" customHeight="1">
      <c r="A318" s="2"/>
      <c r="B318" s="119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3.5" customHeight="1">
      <c r="A319" s="2"/>
      <c r="B319" s="119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3.5" customHeight="1">
      <c r="A320" s="2"/>
      <c r="B320" s="119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3.5" customHeight="1">
      <c r="A321" s="2"/>
      <c r="B321" s="119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3.5" customHeight="1">
      <c r="A322" s="2"/>
      <c r="B322" s="119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3.5" customHeight="1">
      <c r="A323" s="2"/>
      <c r="B323" s="119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3.5" customHeight="1">
      <c r="A324" s="2"/>
      <c r="B324" s="119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3.5" customHeight="1">
      <c r="A325" s="2"/>
      <c r="B325" s="119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3.5" customHeight="1">
      <c r="A326" s="2"/>
      <c r="B326" s="119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3.5" customHeight="1">
      <c r="A327" s="2"/>
      <c r="B327" s="119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3.5" customHeight="1">
      <c r="A328" s="2"/>
      <c r="B328" s="119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3.5" customHeight="1">
      <c r="A329" s="2"/>
      <c r="B329" s="119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3.5" customHeight="1">
      <c r="A330" s="2"/>
      <c r="B330" s="119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3.5" customHeight="1">
      <c r="A331" s="2"/>
      <c r="B331" s="119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3.5" customHeight="1">
      <c r="A332" s="2"/>
      <c r="B332" s="119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3.5" customHeight="1">
      <c r="A333" s="2"/>
      <c r="B333" s="119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3.5" customHeight="1">
      <c r="A334" s="2"/>
      <c r="B334" s="119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3.5" customHeight="1">
      <c r="A335" s="2"/>
      <c r="B335" s="119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3.5" customHeight="1">
      <c r="A336" s="2"/>
      <c r="B336" s="119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3.5" customHeight="1">
      <c r="A337" s="2"/>
      <c r="B337" s="119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3.5" customHeight="1">
      <c r="A338" s="2"/>
      <c r="B338" s="119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3.5" customHeight="1">
      <c r="A339" s="2"/>
      <c r="B339" s="119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3.5" customHeight="1">
      <c r="A340" s="2"/>
      <c r="B340" s="119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3.5" customHeight="1">
      <c r="A341" s="2"/>
      <c r="B341" s="119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3.5" customHeight="1">
      <c r="A342" s="2"/>
      <c r="B342" s="119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3.5" customHeight="1">
      <c r="A343" s="2"/>
      <c r="B343" s="119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3.5" customHeight="1">
      <c r="A344" s="2"/>
      <c r="B344" s="119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3.5" customHeight="1">
      <c r="A345" s="2"/>
      <c r="B345" s="119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3.5" customHeight="1">
      <c r="A346" s="2"/>
      <c r="B346" s="119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3.5" customHeight="1">
      <c r="A347" s="2"/>
      <c r="B347" s="119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3.5" customHeight="1">
      <c r="A348" s="2"/>
      <c r="B348" s="119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3.5" customHeight="1">
      <c r="A349" s="2"/>
      <c r="B349" s="119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3.5" customHeight="1">
      <c r="A350" s="2"/>
      <c r="B350" s="119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3.5" customHeight="1">
      <c r="A351" s="2"/>
      <c r="B351" s="119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3.5" customHeight="1">
      <c r="A352" s="2"/>
      <c r="B352" s="119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3.5" customHeight="1">
      <c r="A353" s="2"/>
      <c r="B353" s="119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3.5" customHeight="1">
      <c r="A354" s="2"/>
      <c r="B354" s="119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3.5" customHeight="1">
      <c r="A355" s="2"/>
      <c r="B355" s="119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3.5" customHeight="1">
      <c r="A356" s="2"/>
      <c r="B356" s="119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3.5" customHeight="1">
      <c r="A357" s="2"/>
      <c r="B357" s="119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3.5" customHeight="1">
      <c r="A358" s="2"/>
      <c r="B358" s="119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3.5" customHeight="1">
      <c r="A359" s="2"/>
      <c r="B359" s="119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3.5" customHeight="1">
      <c r="A360" s="2"/>
      <c r="B360" s="119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3.5" customHeight="1">
      <c r="A361" s="2"/>
      <c r="B361" s="119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3.5" customHeight="1">
      <c r="A362" s="2"/>
      <c r="B362" s="119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3.5" customHeight="1">
      <c r="A363" s="2"/>
      <c r="B363" s="119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3.5" customHeight="1">
      <c r="A364" s="2"/>
      <c r="B364" s="119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3.5" customHeight="1">
      <c r="A365" s="2"/>
      <c r="B365" s="119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3.5" customHeight="1">
      <c r="A366" s="2"/>
      <c r="B366" s="119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3.5" customHeight="1">
      <c r="A367" s="2"/>
      <c r="B367" s="119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3.5" customHeight="1">
      <c r="A368" s="2"/>
      <c r="B368" s="119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3.5" customHeight="1">
      <c r="A369" s="2"/>
      <c r="B369" s="119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3.5" customHeight="1">
      <c r="A370" s="2"/>
      <c r="B370" s="119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3.5" customHeight="1">
      <c r="A371" s="2"/>
      <c r="B371" s="119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3.5" customHeight="1">
      <c r="A372" s="2"/>
      <c r="B372" s="119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3.5" customHeight="1">
      <c r="A373" s="2"/>
      <c r="B373" s="119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3.5" customHeight="1">
      <c r="A374" s="2"/>
      <c r="B374" s="119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3.5" customHeight="1">
      <c r="A375" s="2"/>
      <c r="B375" s="119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3.5" customHeight="1">
      <c r="A376" s="2"/>
      <c r="B376" s="119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3.5" customHeight="1">
      <c r="A377" s="2"/>
      <c r="B377" s="119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3.5" customHeight="1">
      <c r="A378" s="2"/>
      <c r="B378" s="119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3.5" customHeight="1">
      <c r="A379" s="2"/>
      <c r="B379" s="119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3.5" customHeight="1">
      <c r="A380" s="2"/>
      <c r="B380" s="119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3.5" customHeight="1">
      <c r="A381" s="2"/>
      <c r="B381" s="119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3.5" customHeight="1">
      <c r="A382" s="2"/>
      <c r="B382" s="119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3.5" customHeight="1">
      <c r="A383" s="2"/>
      <c r="B383" s="119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3.5" customHeight="1">
      <c r="A384" s="2"/>
      <c r="B384" s="119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3.5" customHeight="1">
      <c r="A385" s="2"/>
      <c r="B385" s="119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3.5" customHeight="1">
      <c r="A386" s="2"/>
      <c r="B386" s="119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3.5" customHeight="1">
      <c r="A387" s="2"/>
      <c r="B387" s="119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3.5" customHeight="1">
      <c r="A388" s="2"/>
      <c r="B388" s="119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3.5" customHeight="1">
      <c r="A389" s="2"/>
      <c r="B389" s="119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3.5" customHeight="1">
      <c r="A390" s="2"/>
      <c r="B390" s="119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3.5" customHeight="1">
      <c r="A391" s="2"/>
      <c r="B391" s="119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3.5" customHeight="1">
      <c r="A392" s="2"/>
      <c r="B392" s="119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3.5" customHeight="1">
      <c r="A393" s="2"/>
      <c r="B393" s="119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3.5" customHeight="1">
      <c r="A394" s="2"/>
      <c r="B394" s="119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3.5" customHeight="1">
      <c r="A395" s="2"/>
      <c r="B395" s="119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3.5" customHeight="1">
      <c r="A396" s="2"/>
      <c r="B396" s="119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3.5" customHeight="1">
      <c r="A397" s="2"/>
      <c r="B397" s="119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3.5" customHeight="1">
      <c r="A398" s="2"/>
      <c r="B398" s="119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3.5" customHeight="1">
      <c r="A399" s="2"/>
      <c r="B399" s="119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3.5" customHeight="1">
      <c r="A400" s="2"/>
      <c r="B400" s="119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3.5" customHeight="1">
      <c r="A401" s="2"/>
      <c r="B401" s="119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3.5" customHeight="1">
      <c r="A402" s="2"/>
      <c r="B402" s="119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3.5" customHeight="1">
      <c r="A403" s="2"/>
      <c r="B403" s="119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3.5" customHeight="1">
      <c r="A404" s="2"/>
      <c r="B404" s="119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3.5" customHeight="1">
      <c r="A405" s="2"/>
      <c r="B405" s="119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3.5" customHeight="1">
      <c r="A406" s="2"/>
      <c r="B406" s="119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3.5" customHeight="1">
      <c r="A407" s="2"/>
      <c r="B407" s="119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3.5" customHeight="1">
      <c r="A408" s="2"/>
      <c r="B408" s="119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3.5" customHeight="1">
      <c r="A409" s="2"/>
      <c r="B409" s="119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3.5" customHeight="1">
      <c r="A410" s="2"/>
      <c r="B410" s="119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3.5" customHeight="1">
      <c r="A411" s="2"/>
      <c r="B411" s="119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3.5" customHeight="1">
      <c r="A412" s="2"/>
      <c r="B412" s="119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3.5" customHeight="1">
      <c r="A413" s="2"/>
      <c r="B413" s="119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3.5" customHeight="1">
      <c r="A414" s="2"/>
      <c r="B414" s="119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3.5" customHeight="1">
      <c r="A415" s="2"/>
      <c r="B415" s="119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3.5" customHeight="1">
      <c r="A416" s="2"/>
      <c r="B416" s="119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3.5" customHeight="1">
      <c r="A417" s="2"/>
      <c r="B417" s="119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3.5" customHeight="1">
      <c r="A418" s="2"/>
      <c r="B418" s="119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3.5" customHeight="1">
      <c r="A419" s="2"/>
      <c r="B419" s="119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3.5" customHeight="1">
      <c r="A420" s="2"/>
      <c r="B420" s="119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3.5" customHeight="1">
      <c r="A421" s="2"/>
      <c r="B421" s="119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3.5" customHeight="1">
      <c r="A422" s="2"/>
      <c r="B422" s="119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3.5" customHeight="1">
      <c r="A423" s="2"/>
      <c r="B423" s="119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3.5" customHeight="1">
      <c r="A424" s="2"/>
      <c r="B424" s="119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3.5" customHeight="1">
      <c r="A425" s="2"/>
      <c r="B425" s="119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3.5" customHeight="1">
      <c r="A426" s="2"/>
      <c r="B426" s="119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3.5" customHeight="1">
      <c r="A427" s="2"/>
      <c r="B427" s="119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3.5" customHeight="1">
      <c r="A428" s="2"/>
      <c r="B428" s="119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3.5" customHeight="1">
      <c r="A429" s="2"/>
      <c r="B429" s="119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3.5" customHeight="1">
      <c r="A430" s="2"/>
      <c r="B430" s="119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3.5" customHeight="1">
      <c r="A431" s="2"/>
      <c r="B431" s="119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3.5" customHeight="1">
      <c r="A432" s="2"/>
      <c r="B432" s="119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3.5" customHeight="1">
      <c r="A433" s="2"/>
      <c r="B433" s="119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3.5" customHeight="1">
      <c r="A434" s="2"/>
      <c r="B434" s="119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3.5" customHeight="1">
      <c r="A435" s="2"/>
      <c r="B435" s="119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3.5" customHeight="1">
      <c r="A436" s="2"/>
      <c r="B436" s="119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3.5" customHeight="1">
      <c r="A437" s="2"/>
      <c r="B437" s="119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3.5" customHeight="1">
      <c r="A438" s="2"/>
      <c r="B438" s="119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3.5" customHeight="1">
      <c r="A439" s="2"/>
      <c r="B439" s="119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3.5" customHeight="1">
      <c r="A440" s="2"/>
      <c r="B440" s="119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3.5" customHeight="1">
      <c r="A441" s="2"/>
      <c r="B441" s="119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3.5" customHeight="1">
      <c r="A442" s="2"/>
      <c r="B442" s="119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3.5" customHeight="1">
      <c r="A443" s="2"/>
      <c r="B443" s="119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3.5" customHeight="1">
      <c r="A444" s="2"/>
      <c r="B444" s="119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3.5" customHeight="1">
      <c r="A445" s="2"/>
      <c r="B445" s="119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3.5" customHeight="1">
      <c r="A446" s="2"/>
      <c r="B446" s="119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3.5" customHeight="1">
      <c r="A447" s="2"/>
      <c r="B447" s="119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3.5" customHeight="1">
      <c r="A448" s="2"/>
      <c r="B448" s="119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3.5" customHeight="1">
      <c r="A449" s="2"/>
      <c r="B449" s="119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3.5" customHeight="1">
      <c r="A450" s="2"/>
      <c r="B450" s="119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3.5" customHeight="1">
      <c r="A451" s="2"/>
      <c r="B451" s="119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3.5" customHeight="1">
      <c r="A452" s="2"/>
      <c r="B452" s="119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3.5" customHeight="1">
      <c r="A453" s="2"/>
      <c r="B453" s="119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3.5" customHeight="1">
      <c r="A454" s="2"/>
      <c r="B454" s="119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3.5" customHeight="1">
      <c r="A455" s="2"/>
      <c r="B455" s="119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3.5" customHeight="1">
      <c r="A456" s="2"/>
      <c r="B456" s="119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3.5" customHeight="1">
      <c r="A457" s="2"/>
      <c r="B457" s="119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3.5" customHeight="1">
      <c r="A458" s="2"/>
      <c r="B458" s="119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3.5" customHeight="1">
      <c r="A459" s="2"/>
      <c r="B459" s="119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3.5" customHeight="1">
      <c r="A460" s="2"/>
      <c r="B460" s="119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3.5" customHeight="1">
      <c r="A461" s="2"/>
      <c r="B461" s="119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3.5" customHeight="1">
      <c r="A462" s="2"/>
      <c r="B462" s="119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3.5" customHeight="1">
      <c r="A463" s="2"/>
      <c r="B463" s="119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3.5" customHeight="1">
      <c r="A464" s="2"/>
      <c r="B464" s="119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3.5" customHeight="1">
      <c r="A465" s="2"/>
      <c r="B465" s="119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3.5" customHeight="1">
      <c r="A466" s="2"/>
      <c r="B466" s="119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3.5" customHeight="1">
      <c r="A467" s="2"/>
      <c r="B467" s="119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3.5" customHeight="1">
      <c r="A468" s="2"/>
      <c r="B468" s="119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3.5" customHeight="1">
      <c r="A469" s="2"/>
      <c r="B469" s="119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3.5" customHeight="1">
      <c r="A470" s="2"/>
      <c r="B470" s="119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3.5" customHeight="1">
      <c r="A471" s="2"/>
      <c r="B471" s="119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3.5" customHeight="1">
      <c r="A472" s="2"/>
      <c r="B472" s="119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3.5" customHeight="1">
      <c r="A473" s="2"/>
      <c r="B473" s="119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3.5" customHeight="1">
      <c r="A474" s="2"/>
      <c r="B474" s="119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3.5" customHeight="1">
      <c r="A475" s="2"/>
      <c r="B475" s="119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3.5" customHeight="1">
      <c r="A476" s="2"/>
      <c r="B476" s="119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3.5" customHeight="1">
      <c r="A477" s="2"/>
      <c r="B477" s="119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3.5" customHeight="1">
      <c r="A478" s="2"/>
      <c r="B478" s="119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3.5" customHeight="1">
      <c r="A479" s="2"/>
      <c r="B479" s="119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3.5" customHeight="1">
      <c r="A480" s="2"/>
      <c r="B480" s="119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3.5" customHeight="1">
      <c r="A481" s="2"/>
      <c r="B481" s="119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3.5" customHeight="1">
      <c r="A482" s="2"/>
      <c r="B482" s="119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3.5" customHeight="1">
      <c r="A483" s="2"/>
      <c r="B483" s="119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3.5" customHeight="1">
      <c r="A484" s="2"/>
      <c r="B484" s="119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3.5" customHeight="1">
      <c r="A485" s="2"/>
      <c r="B485" s="119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3.5" customHeight="1">
      <c r="A486" s="2"/>
      <c r="B486" s="119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3.5" customHeight="1">
      <c r="A487" s="2"/>
      <c r="B487" s="119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3.5" customHeight="1">
      <c r="A488" s="2"/>
      <c r="B488" s="119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3.5" customHeight="1">
      <c r="A489" s="2"/>
      <c r="B489" s="119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3.5" customHeight="1">
      <c r="A490" s="2"/>
      <c r="B490" s="119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3.5" customHeight="1">
      <c r="A491" s="2"/>
      <c r="B491" s="119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3.5" customHeight="1">
      <c r="A492" s="2"/>
      <c r="B492" s="119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3.5" customHeight="1">
      <c r="A493" s="2"/>
      <c r="B493" s="119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3.5" customHeight="1">
      <c r="A494" s="2"/>
      <c r="B494" s="119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3.5" customHeight="1">
      <c r="A495" s="2"/>
      <c r="B495" s="119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3.5" customHeight="1">
      <c r="A496" s="2"/>
      <c r="B496" s="119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3.5" customHeight="1">
      <c r="A497" s="2"/>
      <c r="B497" s="119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3.5" customHeight="1">
      <c r="A498" s="2"/>
      <c r="B498" s="119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3.5" customHeight="1">
      <c r="A499" s="2"/>
      <c r="B499" s="119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3.5" customHeight="1">
      <c r="A500" s="2"/>
      <c r="B500" s="119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3.5" customHeight="1">
      <c r="A501" s="2"/>
      <c r="B501" s="119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3.5" customHeight="1">
      <c r="A502" s="2"/>
      <c r="B502" s="119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3.5" customHeight="1">
      <c r="A503" s="2"/>
      <c r="B503" s="119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3.5" customHeight="1">
      <c r="A504" s="2"/>
      <c r="B504" s="119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3.5" customHeight="1">
      <c r="A505" s="2"/>
      <c r="B505" s="119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3.5" customHeight="1">
      <c r="A506" s="2"/>
      <c r="B506" s="119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3.5" customHeight="1">
      <c r="A507" s="2"/>
      <c r="B507" s="119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3.5" customHeight="1">
      <c r="A508" s="2"/>
      <c r="B508" s="119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3.5" customHeight="1">
      <c r="A509" s="2"/>
      <c r="B509" s="119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3.5" customHeight="1">
      <c r="A510" s="2"/>
      <c r="B510" s="119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3.5" customHeight="1">
      <c r="A511" s="2"/>
      <c r="B511" s="119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3.5" customHeight="1">
      <c r="A512" s="2"/>
      <c r="B512" s="119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3.5" customHeight="1">
      <c r="A513" s="2"/>
      <c r="B513" s="119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3.5" customHeight="1">
      <c r="A514" s="2"/>
      <c r="B514" s="119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3.5" customHeight="1">
      <c r="A515" s="2"/>
      <c r="B515" s="119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3.5" customHeight="1">
      <c r="A516" s="2"/>
      <c r="B516" s="119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3.5" customHeight="1">
      <c r="A517" s="2"/>
      <c r="B517" s="119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3.5" customHeight="1">
      <c r="A518" s="2"/>
      <c r="B518" s="119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3.5" customHeight="1">
      <c r="A519" s="2"/>
      <c r="B519" s="119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3.5" customHeight="1">
      <c r="A520" s="2"/>
      <c r="B520" s="119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3.5" customHeight="1">
      <c r="A521" s="2"/>
      <c r="B521" s="119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3.5" customHeight="1">
      <c r="A522" s="2"/>
      <c r="B522" s="119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3.5" customHeight="1">
      <c r="A523" s="2"/>
      <c r="B523" s="119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3.5" customHeight="1">
      <c r="A524" s="2"/>
      <c r="B524" s="119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3.5" customHeight="1">
      <c r="A525" s="2"/>
      <c r="B525" s="119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3.5" customHeight="1">
      <c r="A526" s="2"/>
      <c r="B526" s="119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3.5" customHeight="1">
      <c r="A527" s="2"/>
      <c r="B527" s="119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3.5" customHeight="1">
      <c r="A528" s="2"/>
      <c r="B528" s="119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3.5" customHeight="1">
      <c r="A529" s="2"/>
      <c r="B529" s="119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3.5" customHeight="1">
      <c r="A530" s="2"/>
      <c r="B530" s="119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3.5" customHeight="1">
      <c r="A531" s="2"/>
      <c r="B531" s="119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3.5" customHeight="1">
      <c r="A532" s="2"/>
      <c r="B532" s="119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3.5" customHeight="1">
      <c r="A533" s="2"/>
      <c r="B533" s="119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3.5" customHeight="1">
      <c r="A534" s="2"/>
      <c r="B534" s="119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3.5" customHeight="1">
      <c r="A535" s="2"/>
      <c r="B535" s="119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3.5" customHeight="1">
      <c r="A536" s="2"/>
      <c r="B536" s="119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3.5" customHeight="1">
      <c r="A537" s="2"/>
      <c r="B537" s="119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3.5" customHeight="1">
      <c r="A538" s="2"/>
      <c r="B538" s="119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3.5" customHeight="1">
      <c r="A539" s="2"/>
      <c r="B539" s="119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3.5" customHeight="1">
      <c r="A540" s="2"/>
      <c r="B540" s="119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3.5" customHeight="1">
      <c r="A541" s="2"/>
      <c r="B541" s="119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3.5" customHeight="1">
      <c r="A542" s="2"/>
      <c r="B542" s="119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3.5" customHeight="1">
      <c r="A543" s="2"/>
      <c r="B543" s="119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3.5" customHeight="1">
      <c r="A544" s="2"/>
      <c r="B544" s="119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3.5" customHeight="1">
      <c r="A545" s="2"/>
      <c r="B545" s="119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3.5" customHeight="1">
      <c r="A546" s="2"/>
      <c r="B546" s="119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3.5" customHeight="1">
      <c r="A547" s="2"/>
      <c r="B547" s="119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3.5" customHeight="1">
      <c r="A548" s="2"/>
      <c r="B548" s="119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3.5" customHeight="1">
      <c r="A549" s="2"/>
      <c r="B549" s="119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3.5" customHeight="1">
      <c r="A550" s="2"/>
      <c r="B550" s="119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3.5" customHeight="1">
      <c r="A551" s="2"/>
      <c r="B551" s="119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3.5" customHeight="1">
      <c r="A552" s="2"/>
      <c r="B552" s="119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3.5" customHeight="1">
      <c r="A553" s="2"/>
      <c r="B553" s="119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3.5" customHeight="1">
      <c r="A554" s="2"/>
      <c r="B554" s="119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3.5" customHeight="1">
      <c r="A555" s="2"/>
      <c r="B555" s="119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3.5" customHeight="1">
      <c r="A556" s="2"/>
      <c r="B556" s="119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3.5" customHeight="1">
      <c r="A557" s="2"/>
      <c r="B557" s="119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3.5" customHeight="1">
      <c r="A558" s="2"/>
      <c r="B558" s="119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3.5" customHeight="1">
      <c r="A559" s="2"/>
      <c r="B559" s="119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3.5" customHeight="1">
      <c r="A560" s="2"/>
      <c r="B560" s="119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3.5" customHeight="1">
      <c r="A561" s="2"/>
      <c r="B561" s="119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3.5" customHeight="1">
      <c r="A562" s="2"/>
      <c r="B562" s="119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3.5" customHeight="1">
      <c r="A563" s="2"/>
      <c r="B563" s="119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3.5" customHeight="1">
      <c r="A564" s="2"/>
      <c r="B564" s="119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3.5" customHeight="1">
      <c r="A565" s="2"/>
      <c r="B565" s="119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3.5" customHeight="1">
      <c r="A566" s="2"/>
      <c r="B566" s="119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3.5" customHeight="1">
      <c r="A567" s="2"/>
      <c r="B567" s="119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3.5" customHeight="1">
      <c r="A568" s="2"/>
      <c r="B568" s="119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3.5" customHeight="1">
      <c r="A569" s="2"/>
      <c r="B569" s="119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3.5" customHeight="1">
      <c r="A570" s="2"/>
      <c r="B570" s="119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3.5" customHeight="1">
      <c r="A571" s="2"/>
      <c r="B571" s="119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3.5" customHeight="1">
      <c r="A572" s="2"/>
      <c r="B572" s="119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3.5" customHeight="1">
      <c r="A573" s="2"/>
      <c r="B573" s="119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3.5" customHeight="1">
      <c r="A574" s="2"/>
      <c r="B574" s="119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3.5" customHeight="1">
      <c r="A575" s="2"/>
      <c r="B575" s="119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3.5" customHeight="1">
      <c r="A576" s="2"/>
      <c r="B576" s="119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3.5" customHeight="1">
      <c r="A577" s="2"/>
      <c r="B577" s="119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3.5" customHeight="1">
      <c r="A578" s="2"/>
      <c r="B578" s="119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3.5" customHeight="1">
      <c r="A579" s="2"/>
      <c r="B579" s="119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3.5" customHeight="1">
      <c r="A580" s="2"/>
      <c r="B580" s="119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3.5" customHeight="1">
      <c r="A581" s="2"/>
      <c r="B581" s="119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3.5" customHeight="1">
      <c r="A582" s="2"/>
      <c r="B582" s="119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3.5" customHeight="1">
      <c r="A583" s="2"/>
      <c r="B583" s="119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3.5" customHeight="1">
      <c r="A584" s="2"/>
      <c r="B584" s="119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3.5" customHeight="1">
      <c r="A585" s="2"/>
      <c r="B585" s="119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3.5" customHeight="1">
      <c r="A586" s="2"/>
      <c r="B586" s="119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3.5" customHeight="1">
      <c r="A587" s="2"/>
      <c r="B587" s="119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3.5" customHeight="1">
      <c r="A588" s="2"/>
      <c r="B588" s="119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3.5" customHeight="1">
      <c r="A589" s="2"/>
      <c r="B589" s="119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3.5" customHeight="1">
      <c r="A590" s="2"/>
      <c r="B590" s="119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3.5" customHeight="1">
      <c r="A591" s="2"/>
      <c r="B591" s="119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3.5" customHeight="1">
      <c r="A592" s="2"/>
      <c r="B592" s="119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3.5" customHeight="1">
      <c r="A593" s="2"/>
      <c r="B593" s="119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3.5" customHeight="1">
      <c r="A594" s="2"/>
      <c r="B594" s="119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3.5" customHeight="1">
      <c r="A595" s="2"/>
      <c r="B595" s="119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3.5" customHeight="1">
      <c r="A596" s="2"/>
      <c r="B596" s="119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3.5" customHeight="1">
      <c r="A597" s="2"/>
      <c r="B597" s="119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3.5" customHeight="1">
      <c r="A598" s="2"/>
      <c r="B598" s="119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3.5" customHeight="1">
      <c r="A599" s="2"/>
      <c r="B599" s="119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3.5" customHeight="1">
      <c r="A600" s="2"/>
      <c r="B600" s="119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3.5" customHeight="1">
      <c r="A601" s="2"/>
      <c r="B601" s="119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3.5" customHeight="1">
      <c r="A602" s="2"/>
      <c r="B602" s="119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3.5" customHeight="1">
      <c r="A603" s="2"/>
      <c r="B603" s="119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3.5" customHeight="1">
      <c r="A604" s="2"/>
      <c r="B604" s="119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3.5" customHeight="1">
      <c r="A605" s="2"/>
      <c r="B605" s="119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3.5" customHeight="1">
      <c r="A606" s="2"/>
      <c r="B606" s="119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3.5" customHeight="1">
      <c r="A607" s="2"/>
      <c r="B607" s="119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3.5" customHeight="1">
      <c r="A608" s="2"/>
      <c r="B608" s="119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3.5" customHeight="1">
      <c r="A609" s="2"/>
      <c r="B609" s="119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3.5" customHeight="1">
      <c r="A610" s="2"/>
      <c r="B610" s="119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3.5" customHeight="1">
      <c r="A611" s="2"/>
      <c r="B611" s="119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3.5" customHeight="1">
      <c r="A612" s="2"/>
      <c r="B612" s="119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3.5" customHeight="1">
      <c r="A613" s="2"/>
      <c r="B613" s="119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3.5" customHeight="1">
      <c r="A614" s="2"/>
      <c r="B614" s="119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3.5" customHeight="1">
      <c r="A615" s="2"/>
      <c r="B615" s="119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3.5" customHeight="1">
      <c r="A616" s="2"/>
      <c r="B616" s="119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3.5" customHeight="1">
      <c r="A617" s="2"/>
      <c r="B617" s="119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3.5" customHeight="1">
      <c r="A618" s="2"/>
      <c r="B618" s="119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3.5" customHeight="1">
      <c r="A619" s="2"/>
      <c r="B619" s="119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3.5" customHeight="1">
      <c r="A620" s="2"/>
      <c r="B620" s="119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3.5" customHeight="1">
      <c r="A621" s="2"/>
      <c r="B621" s="119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3.5" customHeight="1">
      <c r="A622" s="2"/>
      <c r="B622" s="119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3.5" customHeight="1">
      <c r="A623" s="2"/>
      <c r="B623" s="119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3.5" customHeight="1">
      <c r="A624" s="2"/>
      <c r="B624" s="119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3.5" customHeight="1">
      <c r="A625" s="2"/>
      <c r="B625" s="119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3.5" customHeight="1">
      <c r="A626" s="2"/>
      <c r="B626" s="119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3.5" customHeight="1">
      <c r="A627" s="2"/>
      <c r="B627" s="119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3.5" customHeight="1">
      <c r="A628" s="2"/>
      <c r="B628" s="119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3.5" customHeight="1">
      <c r="A629" s="2"/>
      <c r="B629" s="119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3.5" customHeight="1">
      <c r="A630" s="2"/>
      <c r="B630" s="119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3.5" customHeight="1">
      <c r="A631" s="2"/>
      <c r="B631" s="119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3.5" customHeight="1">
      <c r="A632" s="2"/>
      <c r="B632" s="119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3.5" customHeight="1">
      <c r="A633" s="2"/>
      <c r="B633" s="119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3.5" customHeight="1">
      <c r="A634" s="2"/>
      <c r="B634" s="119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3.5" customHeight="1">
      <c r="A635" s="2"/>
      <c r="B635" s="119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3.5" customHeight="1">
      <c r="A636" s="2"/>
      <c r="B636" s="119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3.5" customHeight="1">
      <c r="A637" s="2"/>
      <c r="B637" s="119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3.5" customHeight="1">
      <c r="A638" s="2"/>
      <c r="B638" s="119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3.5" customHeight="1">
      <c r="A639" s="2"/>
      <c r="B639" s="119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3.5" customHeight="1">
      <c r="A640" s="2"/>
      <c r="B640" s="119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3.5" customHeight="1">
      <c r="A641" s="2"/>
      <c r="B641" s="119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3.5" customHeight="1">
      <c r="A642" s="2"/>
      <c r="B642" s="119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3.5" customHeight="1">
      <c r="A643" s="2"/>
      <c r="B643" s="119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3.5" customHeight="1">
      <c r="A644" s="2"/>
      <c r="B644" s="119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3.5" customHeight="1">
      <c r="A645" s="2"/>
      <c r="B645" s="119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3.5" customHeight="1">
      <c r="A646" s="2"/>
      <c r="B646" s="119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3.5" customHeight="1">
      <c r="A647" s="2"/>
      <c r="B647" s="119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3.5" customHeight="1">
      <c r="A648" s="2"/>
      <c r="B648" s="119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3.5" customHeight="1">
      <c r="A649" s="2"/>
      <c r="B649" s="119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3.5" customHeight="1">
      <c r="A650" s="2"/>
      <c r="B650" s="119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3.5" customHeight="1">
      <c r="A651" s="2"/>
      <c r="B651" s="119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3.5" customHeight="1">
      <c r="A652" s="2"/>
      <c r="B652" s="119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3.5" customHeight="1">
      <c r="A653" s="2"/>
      <c r="B653" s="119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3.5" customHeight="1">
      <c r="A654" s="2"/>
      <c r="B654" s="119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3.5" customHeight="1">
      <c r="A655" s="2"/>
      <c r="B655" s="119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3.5" customHeight="1">
      <c r="A656" s="2"/>
      <c r="B656" s="119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3.5" customHeight="1">
      <c r="A657" s="2"/>
      <c r="B657" s="119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3.5" customHeight="1">
      <c r="A658" s="2"/>
      <c r="B658" s="119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3.5" customHeight="1">
      <c r="A659" s="2"/>
      <c r="B659" s="119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3.5" customHeight="1">
      <c r="A660" s="2"/>
      <c r="B660" s="119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3.5" customHeight="1">
      <c r="A661" s="2"/>
      <c r="B661" s="119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3.5" customHeight="1">
      <c r="A662" s="2"/>
      <c r="B662" s="119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3.5" customHeight="1">
      <c r="A663" s="2"/>
      <c r="B663" s="119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3.5" customHeight="1">
      <c r="A664" s="2"/>
      <c r="B664" s="119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3.5" customHeight="1">
      <c r="A665" s="2"/>
      <c r="B665" s="119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3.5" customHeight="1">
      <c r="A666" s="2"/>
      <c r="B666" s="119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3.5" customHeight="1">
      <c r="A667" s="2"/>
      <c r="B667" s="119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3.5" customHeight="1">
      <c r="A668" s="2"/>
      <c r="B668" s="119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3.5" customHeight="1">
      <c r="A669" s="2"/>
      <c r="B669" s="119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3.5" customHeight="1">
      <c r="A670" s="2"/>
      <c r="B670" s="119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3.5" customHeight="1">
      <c r="A671" s="2"/>
      <c r="B671" s="119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3.5" customHeight="1">
      <c r="A672" s="2"/>
      <c r="B672" s="119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3.5" customHeight="1">
      <c r="A673" s="2"/>
      <c r="B673" s="119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3.5" customHeight="1">
      <c r="A674" s="2"/>
      <c r="B674" s="119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3.5" customHeight="1">
      <c r="A675" s="2"/>
      <c r="B675" s="119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3.5" customHeight="1">
      <c r="A676" s="2"/>
      <c r="B676" s="119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3.5" customHeight="1">
      <c r="A677" s="2"/>
      <c r="B677" s="119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3.5" customHeight="1">
      <c r="A678" s="2"/>
      <c r="B678" s="119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3.5" customHeight="1">
      <c r="A679" s="2"/>
      <c r="B679" s="119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3.5" customHeight="1">
      <c r="A680" s="2"/>
      <c r="B680" s="119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3.5" customHeight="1">
      <c r="A681" s="2"/>
      <c r="B681" s="119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3.5" customHeight="1">
      <c r="A682" s="2"/>
      <c r="B682" s="119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3.5" customHeight="1">
      <c r="A683" s="2"/>
      <c r="B683" s="119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3.5" customHeight="1">
      <c r="A684" s="2"/>
      <c r="B684" s="119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3.5" customHeight="1">
      <c r="A685" s="2"/>
      <c r="B685" s="119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3.5" customHeight="1">
      <c r="A686" s="2"/>
      <c r="B686" s="119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3.5" customHeight="1">
      <c r="A687" s="2"/>
      <c r="B687" s="119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3.5" customHeight="1">
      <c r="A688" s="2"/>
      <c r="B688" s="119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3.5" customHeight="1">
      <c r="A689" s="2"/>
      <c r="B689" s="119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3.5" customHeight="1">
      <c r="A690" s="2"/>
      <c r="B690" s="119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3.5" customHeight="1">
      <c r="A691" s="2"/>
      <c r="B691" s="119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3.5" customHeight="1">
      <c r="A692" s="2"/>
      <c r="B692" s="119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3.5" customHeight="1">
      <c r="A693" s="2"/>
      <c r="B693" s="119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3.5" customHeight="1">
      <c r="A694" s="2"/>
      <c r="B694" s="119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3.5" customHeight="1">
      <c r="A695" s="2"/>
      <c r="B695" s="119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3.5" customHeight="1">
      <c r="A696" s="2"/>
      <c r="B696" s="119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3.5" customHeight="1">
      <c r="A697" s="2"/>
      <c r="B697" s="119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3.5" customHeight="1">
      <c r="A698" s="2"/>
      <c r="B698" s="119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3.5" customHeight="1">
      <c r="A699" s="2"/>
      <c r="B699" s="119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3.5" customHeight="1">
      <c r="A700" s="2"/>
      <c r="B700" s="119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3.5" customHeight="1">
      <c r="A701" s="2"/>
      <c r="B701" s="119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3.5" customHeight="1">
      <c r="A702" s="2"/>
      <c r="B702" s="119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3.5" customHeight="1">
      <c r="A703" s="2"/>
      <c r="B703" s="119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3.5" customHeight="1">
      <c r="A704" s="2"/>
      <c r="B704" s="119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3.5" customHeight="1">
      <c r="A705" s="2"/>
      <c r="B705" s="119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3.5" customHeight="1">
      <c r="A706" s="2"/>
      <c r="B706" s="119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3.5" customHeight="1">
      <c r="A707" s="2"/>
      <c r="B707" s="119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3.5" customHeight="1">
      <c r="A708" s="2"/>
      <c r="B708" s="119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3.5" customHeight="1">
      <c r="A709" s="2"/>
      <c r="B709" s="119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3.5" customHeight="1">
      <c r="A710" s="2"/>
      <c r="B710" s="119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3.5" customHeight="1">
      <c r="A711" s="2"/>
      <c r="B711" s="119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3.5" customHeight="1">
      <c r="A712" s="2"/>
      <c r="B712" s="119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3.5" customHeight="1">
      <c r="A713" s="2"/>
      <c r="B713" s="119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3.5" customHeight="1">
      <c r="A714" s="2"/>
      <c r="B714" s="119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3.5" customHeight="1">
      <c r="A715" s="2"/>
      <c r="B715" s="119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3.5" customHeight="1">
      <c r="A716" s="2"/>
      <c r="B716" s="119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3.5" customHeight="1">
      <c r="A717" s="2"/>
      <c r="B717" s="119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3.5" customHeight="1">
      <c r="A718" s="2"/>
      <c r="B718" s="119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3.5" customHeight="1">
      <c r="A719" s="2"/>
      <c r="B719" s="119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3.5" customHeight="1">
      <c r="A720" s="2"/>
      <c r="B720" s="119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3.5" customHeight="1">
      <c r="A721" s="2"/>
      <c r="B721" s="119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3.5" customHeight="1">
      <c r="A722" s="2"/>
      <c r="B722" s="119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3.5" customHeight="1">
      <c r="A723" s="2"/>
      <c r="B723" s="119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3.5" customHeight="1">
      <c r="A724" s="2"/>
      <c r="B724" s="119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3.5" customHeight="1">
      <c r="A725" s="2"/>
      <c r="B725" s="119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3.5" customHeight="1">
      <c r="A726" s="2"/>
      <c r="B726" s="119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3.5" customHeight="1">
      <c r="A727" s="2"/>
      <c r="B727" s="119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3.5" customHeight="1">
      <c r="A728" s="2"/>
      <c r="B728" s="119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3.5" customHeight="1">
      <c r="A729" s="2"/>
      <c r="B729" s="119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3.5" customHeight="1">
      <c r="A730" s="2"/>
      <c r="B730" s="119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3.5" customHeight="1">
      <c r="A731" s="2"/>
      <c r="B731" s="119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3.5" customHeight="1">
      <c r="A732" s="2"/>
      <c r="B732" s="119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3.5" customHeight="1">
      <c r="A733" s="2"/>
      <c r="B733" s="119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3.5" customHeight="1">
      <c r="A734" s="2"/>
      <c r="B734" s="119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3.5" customHeight="1">
      <c r="A735" s="2"/>
      <c r="B735" s="119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3.5" customHeight="1">
      <c r="A736" s="2"/>
      <c r="B736" s="119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3.5" customHeight="1">
      <c r="A737" s="2"/>
      <c r="B737" s="119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3.5" customHeight="1">
      <c r="A738" s="2"/>
      <c r="B738" s="119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3.5" customHeight="1">
      <c r="A739" s="2"/>
      <c r="B739" s="119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3.5" customHeight="1">
      <c r="A740" s="2"/>
      <c r="B740" s="119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3.5" customHeight="1">
      <c r="A741" s="2"/>
      <c r="B741" s="119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3.5" customHeight="1">
      <c r="A742" s="2"/>
      <c r="B742" s="119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3.5" customHeight="1">
      <c r="A743" s="2"/>
      <c r="B743" s="119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3.5" customHeight="1">
      <c r="A744" s="2"/>
      <c r="B744" s="119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3.5" customHeight="1">
      <c r="A745" s="2"/>
      <c r="B745" s="119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3.5" customHeight="1">
      <c r="A746" s="2"/>
      <c r="B746" s="119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3.5" customHeight="1">
      <c r="A747" s="2"/>
      <c r="B747" s="119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3.5" customHeight="1">
      <c r="A748" s="2"/>
      <c r="B748" s="119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3.5" customHeight="1">
      <c r="A749" s="2"/>
      <c r="B749" s="119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3.5" customHeight="1">
      <c r="A750" s="2"/>
      <c r="B750" s="119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3.5" customHeight="1">
      <c r="A751" s="2"/>
      <c r="B751" s="119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3.5" customHeight="1">
      <c r="A752" s="2"/>
      <c r="B752" s="119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3.5" customHeight="1">
      <c r="A753" s="2"/>
      <c r="B753" s="119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3.5" customHeight="1">
      <c r="A754" s="2"/>
      <c r="B754" s="119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3.5" customHeight="1">
      <c r="A755" s="2"/>
      <c r="B755" s="119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3.5" customHeight="1">
      <c r="A756" s="2"/>
      <c r="B756" s="119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3.5" customHeight="1">
      <c r="A757" s="2"/>
      <c r="B757" s="119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3.5" customHeight="1">
      <c r="A758" s="2"/>
      <c r="B758" s="119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3.5" customHeight="1">
      <c r="A759" s="2"/>
      <c r="B759" s="119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3.5" customHeight="1">
      <c r="A760" s="2"/>
      <c r="B760" s="119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3.5" customHeight="1">
      <c r="A761" s="2"/>
      <c r="B761" s="119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3.5" customHeight="1">
      <c r="A762" s="2"/>
      <c r="B762" s="119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3.5" customHeight="1">
      <c r="A763" s="2"/>
      <c r="B763" s="119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3.5" customHeight="1">
      <c r="A764" s="2"/>
      <c r="B764" s="119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3.5" customHeight="1">
      <c r="A765" s="2"/>
      <c r="B765" s="119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3.5" customHeight="1">
      <c r="A766" s="2"/>
      <c r="B766" s="119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3.5" customHeight="1">
      <c r="A767" s="2"/>
      <c r="B767" s="119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3.5" customHeight="1">
      <c r="A768" s="2"/>
      <c r="B768" s="119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3.5" customHeight="1">
      <c r="A769" s="2"/>
      <c r="B769" s="119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3.5" customHeight="1">
      <c r="A770" s="2"/>
      <c r="B770" s="119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3.5" customHeight="1">
      <c r="A771" s="2"/>
      <c r="B771" s="119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3.5" customHeight="1">
      <c r="A772" s="2"/>
      <c r="B772" s="119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3.5" customHeight="1">
      <c r="A773" s="2"/>
      <c r="B773" s="119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3.5" customHeight="1">
      <c r="A774" s="2"/>
      <c r="B774" s="119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3.5" customHeight="1">
      <c r="A775" s="2"/>
      <c r="B775" s="119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3.5" customHeight="1">
      <c r="A776" s="2"/>
      <c r="B776" s="119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3.5" customHeight="1">
      <c r="A777" s="2"/>
      <c r="B777" s="119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3.5" customHeight="1">
      <c r="A778" s="2"/>
      <c r="B778" s="119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3.5" customHeight="1">
      <c r="A779" s="2"/>
      <c r="B779" s="119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3.5" customHeight="1">
      <c r="A780" s="2"/>
      <c r="B780" s="119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3.5" customHeight="1">
      <c r="A781" s="2"/>
      <c r="B781" s="119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3.5" customHeight="1">
      <c r="A782" s="2"/>
      <c r="B782" s="119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3.5" customHeight="1">
      <c r="A783" s="2"/>
      <c r="B783" s="119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3.5" customHeight="1">
      <c r="A784" s="2"/>
      <c r="B784" s="119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3.5" customHeight="1">
      <c r="A785" s="2"/>
      <c r="B785" s="119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3.5" customHeight="1">
      <c r="A786" s="2"/>
      <c r="B786" s="119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3.5" customHeight="1">
      <c r="A787" s="2"/>
      <c r="B787" s="119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3.5" customHeight="1">
      <c r="A788" s="2"/>
      <c r="B788" s="119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3.5" customHeight="1">
      <c r="A789" s="2"/>
      <c r="B789" s="119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3.5" customHeight="1">
      <c r="A790" s="2"/>
      <c r="B790" s="119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3.5" customHeight="1">
      <c r="A791" s="2"/>
      <c r="B791" s="119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3.5" customHeight="1">
      <c r="A792" s="2"/>
      <c r="B792" s="119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3.5" customHeight="1">
      <c r="A793" s="2"/>
      <c r="B793" s="119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3.5" customHeight="1">
      <c r="A794" s="2"/>
      <c r="B794" s="119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3.5" customHeight="1">
      <c r="A795" s="2"/>
      <c r="B795" s="119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3.5" customHeight="1">
      <c r="A796" s="2"/>
      <c r="B796" s="119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3.5" customHeight="1">
      <c r="A797" s="2"/>
      <c r="B797" s="119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3.5" customHeight="1">
      <c r="A798" s="2"/>
      <c r="B798" s="119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3.5" customHeight="1">
      <c r="A799" s="2"/>
      <c r="B799" s="119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3.5" customHeight="1">
      <c r="A800" s="2"/>
      <c r="B800" s="119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3.5" customHeight="1">
      <c r="A801" s="2"/>
      <c r="B801" s="119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3.5" customHeight="1">
      <c r="A802" s="2"/>
      <c r="B802" s="119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3.5" customHeight="1">
      <c r="A803" s="2"/>
      <c r="B803" s="119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3.5" customHeight="1">
      <c r="A804" s="2"/>
      <c r="B804" s="119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3.5" customHeight="1">
      <c r="A805" s="2"/>
      <c r="B805" s="119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3.5" customHeight="1">
      <c r="A806" s="2"/>
      <c r="B806" s="119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3.5" customHeight="1">
      <c r="A807" s="2"/>
      <c r="B807" s="119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3.5" customHeight="1">
      <c r="A808" s="2"/>
      <c r="B808" s="119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3.5" customHeight="1">
      <c r="A809" s="2"/>
      <c r="B809" s="119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3.5" customHeight="1">
      <c r="A810" s="2"/>
      <c r="B810" s="119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3.5" customHeight="1">
      <c r="A811" s="2"/>
      <c r="B811" s="119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3.5" customHeight="1">
      <c r="A812" s="2"/>
      <c r="B812" s="119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3.5" customHeight="1">
      <c r="A813" s="2"/>
      <c r="B813" s="119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3.5" customHeight="1">
      <c r="A814" s="2"/>
      <c r="B814" s="119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3.5" customHeight="1">
      <c r="A815" s="2"/>
      <c r="B815" s="119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3.5" customHeight="1">
      <c r="A816" s="2"/>
      <c r="B816" s="119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3.5" customHeight="1">
      <c r="A817" s="2"/>
      <c r="B817" s="119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3.5" customHeight="1">
      <c r="A818" s="2"/>
      <c r="B818" s="119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3.5" customHeight="1">
      <c r="A819" s="2"/>
      <c r="B819" s="119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3.5" customHeight="1">
      <c r="A820" s="2"/>
      <c r="B820" s="119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3.5" customHeight="1">
      <c r="A821" s="2"/>
      <c r="B821" s="119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3.5" customHeight="1">
      <c r="A822" s="2"/>
      <c r="B822" s="119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3.5" customHeight="1">
      <c r="A823" s="2"/>
      <c r="B823" s="119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3.5" customHeight="1">
      <c r="A824" s="2"/>
      <c r="B824" s="119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3.5" customHeight="1">
      <c r="A825" s="2"/>
      <c r="B825" s="119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3.5" customHeight="1">
      <c r="A826" s="2"/>
      <c r="B826" s="119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3.5" customHeight="1">
      <c r="A827" s="2"/>
      <c r="B827" s="119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3.5" customHeight="1">
      <c r="A828" s="2"/>
      <c r="B828" s="119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3.5" customHeight="1">
      <c r="A829" s="2"/>
      <c r="B829" s="119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3.5" customHeight="1">
      <c r="A830" s="2"/>
      <c r="B830" s="119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3.5" customHeight="1">
      <c r="A831" s="2"/>
      <c r="B831" s="119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3.5" customHeight="1">
      <c r="A832" s="2"/>
      <c r="B832" s="119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3.5" customHeight="1">
      <c r="A833" s="2"/>
      <c r="B833" s="119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3.5" customHeight="1">
      <c r="A834" s="2"/>
      <c r="B834" s="119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3.5" customHeight="1">
      <c r="A835" s="2"/>
      <c r="B835" s="119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3.5" customHeight="1">
      <c r="A836" s="2"/>
      <c r="B836" s="119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3.5" customHeight="1">
      <c r="A837" s="2"/>
      <c r="B837" s="119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3.5" customHeight="1">
      <c r="A838" s="2"/>
      <c r="B838" s="119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3.5" customHeight="1">
      <c r="A839" s="2"/>
      <c r="B839" s="119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3.5" customHeight="1">
      <c r="A840" s="2"/>
      <c r="B840" s="119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3.5" customHeight="1">
      <c r="A841" s="2"/>
      <c r="B841" s="119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3.5" customHeight="1">
      <c r="A842" s="2"/>
      <c r="B842" s="119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3.5" customHeight="1">
      <c r="A843" s="2"/>
      <c r="B843" s="119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3.5" customHeight="1">
      <c r="A844" s="2"/>
      <c r="B844" s="119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3.5" customHeight="1">
      <c r="A845" s="2"/>
      <c r="B845" s="119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3.5" customHeight="1">
      <c r="A846" s="2"/>
      <c r="B846" s="119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3.5" customHeight="1">
      <c r="A847" s="2"/>
      <c r="B847" s="119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3.5" customHeight="1">
      <c r="A848" s="2"/>
      <c r="B848" s="119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3.5" customHeight="1">
      <c r="A849" s="2"/>
      <c r="B849" s="119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3.5" customHeight="1">
      <c r="A850" s="2"/>
      <c r="B850" s="119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3.5" customHeight="1">
      <c r="A851" s="2"/>
      <c r="B851" s="119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3.5" customHeight="1">
      <c r="A852" s="2"/>
      <c r="B852" s="119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3.5" customHeight="1">
      <c r="A853" s="2"/>
      <c r="B853" s="119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3.5" customHeight="1">
      <c r="A854" s="2"/>
      <c r="B854" s="119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3.5" customHeight="1">
      <c r="A855" s="2"/>
      <c r="B855" s="119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3.5" customHeight="1">
      <c r="A856" s="2"/>
      <c r="B856" s="119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3.5" customHeight="1">
      <c r="A857" s="2"/>
      <c r="B857" s="119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3.5" customHeight="1">
      <c r="A858" s="2"/>
      <c r="B858" s="119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3.5" customHeight="1">
      <c r="A859" s="2"/>
      <c r="B859" s="119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3.5" customHeight="1">
      <c r="A860" s="2"/>
      <c r="B860" s="119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3.5" customHeight="1">
      <c r="A861" s="2"/>
      <c r="B861" s="119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3.5" customHeight="1">
      <c r="A862" s="2"/>
      <c r="B862" s="119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3.5" customHeight="1">
      <c r="A863" s="2"/>
      <c r="B863" s="119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3.5" customHeight="1">
      <c r="A864" s="2"/>
      <c r="B864" s="119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3.5" customHeight="1">
      <c r="A865" s="2"/>
      <c r="B865" s="119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3.5" customHeight="1">
      <c r="A866" s="2"/>
      <c r="B866" s="119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3.5" customHeight="1">
      <c r="A867" s="2"/>
      <c r="B867" s="119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3.5" customHeight="1">
      <c r="A868" s="2"/>
      <c r="B868" s="119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3.5" customHeight="1">
      <c r="A869" s="2"/>
      <c r="B869" s="119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3.5" customHeight="1">
      <c r="A870" s="2"/>
      <c r="B870" s="119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3.5" customHeight="1">
      <c r="A871" s="2"/>
      <c r="B871" s="119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3.5" customHeight="1">
      <c r="A872" s="2"/>
      <c r="B872" s="119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3.5" customHeight="1">
      <c r="A873" s="2"/>
      <c r="B873" s="119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3.5" customHeight="1">
      <c r="A874" s="2"/>
      <c r="B874" s="119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3.5" customHeight="1">
      <c r="A875" s="2"/>
      <c r="B875" s="119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3.5" customHeight="1">
      <c r="A876" s="2"/>
      <c r="B876" s="119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3.5" customHeight="1">
      <c r="A877" s="2"/>
      <c r="B877" s="119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3.5" customHeight="1">
      <c r="A878" s="2"/>
      <c r="B878" s="119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3.5" customHeight="1">
      <c r="A879" s="2"/>
      <c r="B879" s="119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3.5" customHeight="1">
      <c r="A880" s="2"/>
      <c r="B880" s="119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3.5" customHeight="1">
      <c r="A881" s="2"/>
      <c r="B881" s="119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3.5" customHeight="1">
      <c r="A882" s="2"/>
      <c r="B882" s="119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3.5" customHeight="1">
      <c r="A883" s="2"/>
      <c r="B883" s="119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3.5" customHeight="1">
      <c r="A884" s="2"/>
      <c r="B884" s="119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3.5" customHeight="1">
      <c r="A885" s="2"/>
      <c r="B885" s="119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3.5" customHeight="1">
      <c r="A886" s="2"/>
      <c r="B886" s="119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3.5" customHeight="1">
      <c r="A887" s="2"/>
      <c r="B887" s="119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3.5" customHeight="1">
      <c r="A888" s="2"/>
      <c r="B888" s="119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3.5" customHeight="1">
      <c r="A889" s="2"/>
      <c r="B889" s="119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3.5" customHeight="1">
      <c r="A890" s="2"/>
      <c r="B890" s="119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3.5" customHeight="1">
      <c r="A891" s="2"/>
      <c r="B891" s="119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3.5" customHeight="1">
      <c r="A892" s="2"/>
      <c r="B892" s="119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3.5" customHeight="1">
      <c r="A893" s="2"/>
      <c r="B893" s="119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3.5" customHeight="1">
      <c r="A894" s="2"/>
      <c r="B894" s="119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3.5" customHeight="1">
      <c r="A895" s="2"/>
      <c r="B895" s="119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3.5" customHeight="1">
      <c r="A896" s="2"/>
      <c r="B896" s="119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3.5" customHeight="1">
      <c r="A897" s="2"/>
      <c r="B897" s="119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3.5" customHeight="1">
      <c r="A898" s="2"/>
      <c r="B898" s="119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3.5" customHeight="1">
      <c r="A899" s="2"/>
      <c r="B899" s="119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3.5" customHeight="1">
      <c r="A900" s="2"/>
      <c r="B900" s="119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3.5" customHeight="1">
      <c r="A901" s="2"/>
      <c r="B901" s="119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3.5" customHeight="1">
      <c r="A902" s="2"/>
      <c r="B902" s="119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3.5" customHeight="1">
      <c r="A903" s="2"/>
      <c r="B903" s="119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3.5" customHeight="1">
      <c r="A904" s="2"/>
      <c r="B904" s="119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3.5" customHeight="1">
      <c r="A905" s="2"/>
      <c r="B905" s="119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3.5" customHeight="1">
      <c r="A906" s="2"/>
      <c r="B906" s="119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3.5" customHeight="1">
      <c r="A907" s="2"/>
      <c r="B907" s="119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3.5" customHeight="1">
      <c r="A908" s="2"/>
      <c r="B908" s="119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3.5" customHeight="1">
      <c r="A909" s="2"/>
      <c r="B909" s="119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3.5" customHeight="1">
      <c r="A910" s="2"/>
      <c r="B910" s="119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3.5" customHeight="1">
      <c r="A911" s="2"/>
      <c r="B911" s="119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3.5" customHeight="1">
      <c r="A912" s="2"/>
      <c r="B912" s="119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3.5" customHeight="1">
      <c r="A913" s="2"/>
      <c r="B913" s="119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3.5" customHeight="1">
      <c r="A914" s="2"/>
      <c r="B914" s="119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3.5" customHeight="1">
      <c r="A915" s="2"/>
      <c r="B915" s="119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3.5" customHeight="1">
      <c r="A916" s="2"/>
      <c r="B916" s="119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3.5" customHeight="1">
      <c r="A917" s="2"/>
      <c r="B917" s="119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3.5" customHeight="1">
      <c r="A918" s="2"/>
      <c r="B918" s="119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3.5" customHeight="1">
      <c r="A919" s="2"/>
      <c r="B919" s="119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3.5" customHeight="1">
      <c r="A920" s="2"/>
      <c r="B920" s="119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3.5" customHeight="1">
      <c r="A921" s="2"/>
      <c r="B921" s="119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3.5" customHeight="1">
      <c r="A922" s="2"/>
      <c r="B922" s="119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3.5" customHeight="1">
      <c r="A923" s="2"/>
      <c r="B923" s="119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3.5" customHeight="1">
      <c r="A924" s="2"/>
      <c r="B924" s="119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3.5" customHeight="1">
      <c r="A925" s="2"/>
      <c r="B925" s="119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3.5" customHeight="1">
      <c r="A926" s="2"/>
      <c r="B926" s="119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3.5" customHeight="1">
      <c r="A927" s="2"/>
      <c r="B927" s="119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3.5" customHeight="1">
      <c r="A928" s="2"/>
      <c r="B928" s="119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3.5" customHeight="1">
      <c r="A929" s="2"/>
      <c r="B929" s="119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3.5" customHeight="1">
      <c r="A930" s="2"/>
      <c r="B930" s="119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3.5" customHeight="1">
      <c r="A931" s="2"/>
      <c r="B931" s="119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3.5" customHeight="1">
      <c r="A932" s="2"/>
      <c r="B932" s="119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3.5" customHeight="1">
      <c r="A933" s="2"/>
      <c r="B933" s="119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3.5" customHeight="1">
      <c r="A934" s="2"/>
      <c r="B934" s="119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3.5" customHeight="1">
      <c r="A935" s="2"/>
      <c r="B935" s="119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3.5" customHeight="1">
      <c r="A936" s="2"/>
      <c r="B936" s="119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3.5" customHeight="1">
      <c r="A937" s="2"/>
      <c r="B937" s="119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3.5" customHeight="1">
      <c r="A938" s="2"/>
      <c r="B938" s="119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3.5" customHeight="1">
      <c r="A939" s="2"/>
      <c r="B939" s="119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3.5" customHeight="1">
      <c r="A940" s="2"/>
      <c r="B940" s="119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3.5" customHeight="1">
      <c r="A941" s="2"/>
      <c r="B941" s="119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3.5" customHeight="1">
      <c r="A942" s="2"/>
      <c r="B942" s="119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3.5" customHeight="1">
      <c r="A943" s="2"/>
      <c r="B943" s="119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3.5" customHeight="1">
      <c r="A944" s="2"/>
      <c r="B944" s="119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3.5" customHeight="1">
      <c r="A945" s="2"/>
      <c r="B945" s="119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3.5" customHeight="1">
      <c r="A946" s="2"/>
      <c r="B946" s="119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3.5" customHeight="1">
      <c r="A947" s="2"/>
      <c r="B947" s="119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3.5" customHeight="1">
      <c r="A948" s="2"/>
      <c r="B948" s="119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3.5" customHeight="1">
      <c r="A949" s="2"/>
      <c r="B949" s="119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3.5" customHeight="1">
      <c r="A950" s="2"/>
      <c r="B950" s="119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3.5" customHeight="1">
      <c r="A951" s="2"/>
      <c r="B951" s="119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3.5" customHeight="1">
      <c r="A952" s="2"/>
      <c r="B952" s="119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3.5" customHeight="1">
      <c r="A953" s="2"/>
      <c r="B953" s="119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3.5" customHeight="1">
      <c r="A954" s="2"/>
      <c r="B954" s="119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3.5" customHeight="1">
      <c r="A955" s="2"/>
      <c r="B955" s="119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3.5" customHeight="1">
      <c r="A956" s="2"/>
      <c r="B956" s="119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3.5" customHeight="1">
      <c r="A957" s="2"/>
      <c r="B957" s="119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3.5" customHeight="1">
      <c r="A958" s="2"/>
      <c r="B958" s="119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3.5" customHeight="1">
      <c r="A959" s="2"/>
      <c r="B959" s="119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3.5" customHeight="1">
      <c r="A960" s="2"/>
      <c r="B960" s="119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3.5" customHeight="1">
      <c r="A961" s="2"/>
      <c r="B961" s="119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3.5" customHeight="1">
      <c r="A962" s="2"/>
      <c r="B962" s="119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3.5" customHeight="1">
      <c r="A963" s="2"/>
      <c r="B963" s="119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3.5" customHeight="1">
      <c r="A964" s="2"/>
      <c r="B964" s="119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3.5" customHeight="1">
      <c r="A965" s="2"/>
      <c r="B965" s="119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3.5" customHeight="1">
      <c r="A966" s="2"/>
      <c r="B966" s="119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3.5" customHeight="1">
      <c r="A967" s="2"/>
      <c r="B967" s="119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3.5" customHeight="1">
      <c r="A968" s="2"/>
      <c r="B968" s="119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3.5" customHeight="1">
      <c r="A969" s="2"/>
      <c r="B969" s="119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3.5" customHeight="1">
      <c r="A970" s="2"/>
      <c r="B970" s="119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3.5" customHeight="1">
      <c r="A971" s="2"/>
      <c r="B971" s="119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3.5" customHeight="1">
      <c r="A972" s="2"/>
      <c r="B972" s="119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3.5" customHeight="1">
      <c r="A973" s="2"/>
      <c r="B973" s="119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3.5" customHeight="1">
      <c r="A974" s="2"/>
      <c r="B974" s="119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3.5" customHeight="1">
      <c r="A975" s="2"/>
      <c r="B975" s="119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3.5" customHeight="1">
      <c r="A976" s="2"/>
      <c r="B976" s="119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3.5" customHeight="1">
      <c r="A977" s="2"/>
      <c r="B977" s="119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3.5" customHeight="1">
      <c r="A978" s="2"/>
      <c r="B978" s="119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3.5" customHeight="1">
      <c r="A979" s="2"/>
      <c r="B979" s="119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3.5" customHeight="1">
      <c r="A980" s="2"/>
      <c r="B980" s="119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3.5" customHeight="1">
      <c r="A981" s="2"/>
      <c r="B981" s="119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3.5" customHeight="1">
      <c r="A982" s="2"/>
      <c r="B982" s="119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3.5" customHeight="1">
      <c r="A983" s="2"/>
      <c r="B983" s="119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3.5" customHeight="1">
      <c r="A984" s="2"/>
      <c r="B984" s="119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3.5" customHeight="1">
      <c r="A985" s="2"/>
      <c r="B985" s="119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3.5" customHeight="1">
      <c r="A986" s="2"/>
      <c r="B986" s="119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3.5" customHeight="1">
      <c r="A987" s="2"/>
      <c r="B987" s="119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3.5" customHeight="1">
      <c r="A988" s="2"/>
      <c r="B988" s="119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3.5" customHeight="1">
      <c r="A989" s="2"/>
      <c r="B989" s="119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3.5" customHeight="1">
      <c r="A990" s="2"/>
      <c r="B990" s="119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3.5" customHeight="1">
      <c r="A991" s="2"/>
      <c r="B991" s="119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3.5" customHeight="1">
      <c r="A992" s="2"/>
      <c r="B992" s="119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3.5" customHeight="1">
      <c r="A993" s="2"/>
      <c r="B993" s="119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3.5" customHeight="1">
      <c r="A994" s="2"/>
      <c r="B994" s="119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3.5" customHeight="1">
      <c r="A995" s="2"/>
      <c r="B995" s="119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3.5" customHeight="1">
      <c r="A996" s="2"/>
      <c r="B996" s="119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3.5" customHeight="1">
      <c r="A997" s="2"/>
      <c r="B997" s="119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3.5" customHeight="1">
      <c r="A998" s="2"/>
      <c r="B998" s="119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3.5" customHeight="1">
      <c r="A999" s="2"/>
      <c r="B999" s="119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3.5" customHeight="1">
      <c r="A1000" s="2"/>
      <c r="B1000" s="119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3.5" customHeight="1">
      <c r="A1001" s="2"/>
      <c r="B1001" s="119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ht="13.5" customHeight="1">
      <c r="A1002" s="2"/>
      <c r="B1002" s="119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ht="13.5" customHeight="1">
      <c r="A1003" s="2"/>
      <c r="B1003" s="119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ht="13.5" customHeight="1">
      <c r="A1004" s="2"/>
      <c r="B1004" s="119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ht="13.5" customHeight="1">
      <c r="A1005" s="2"/>
      <c r="B1005" s="119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 ht="13.5" customHeight="1">
      <c r="A1006" s="2"/>
      <c r="B1006" s="119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 ht="13.5" customHeight="1">
      <c r="A1007" s="2"/>
      <c r="B1007" s="119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 ht="13.5" customHeight="1">
      <c r="A1008" s="2"/>
      <c r="B1008" s="119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 ht="13.5" customHeight="1">
      <c r="A1009" s="2"/>
      <c r="B1009" s="119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 ht="13.5" customHeight="1">
      <c r="A1010" s="2"/>
      <c r="B1010" s="119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 ht="13.5" customHeight="1">
      <c r="A1011" s="2"/>
      <c r="B1011" s="119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 ht="13.5" customHeight="1">
      <c r="A1012" s="2"/>
      <c r="B1012" s="119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</sheetData>
  <mergeCells count="1">
    <mergeCell ref="B3:D3"/>
  </mergeCells>
  <dataValidations>
    <dataValidation type="list" allowBlank="1" showErrorMessage="1" sqref="D17:D35">
      <formula1>$K$18:$K$23</formula1>
    </dataValidation>
    <dataValidation type="list" allowBlank="1" showErrorMessage="1" sqref="D6:D16">
      <formula1>$L$8:$L$11</formula1>
    </dataValidation>
  </dataValidations>
  <printOptions/>
  <pageMargins bottom="0.75" footer="0.0" header="0.0" left="0.7" right="0.7" top="1.03125"/>
  <pageSetup paperSize="9" scale="56" orientation="landscape"/>
  <headerFooter>
    <oddHeader>&amp;L00+000&amp;CGP2022 Phase-Exit Review Checklist 09-015 09-033&lt;Project Name&gt;</oddHeader>
    <oddFooter>&amp;R&amp;P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6"/>
    <pageSetUpPr/>
  </sheetPr>
  <sheetViews>
    <sheetView workbookViewId="0"/>
  </sheetViews>
  <sheetFormatPr customHeight="1" defaultColWidth="12.63" defaultRowHeight="15.0"/>
  <cols>
    <col customWidth="1" min="1" max="1" width="1.75"/>
    <col customWidth="1" min="2" max="2" width="4.38"/>
    <col customWidth="1" min="3" max="3" width="100.25"/>
    <col customWidth="1" min="4" max="5" width="14.75"/>
    <col customWidth="1" min="6" max="6" width="49.25"/>
    <col customWidth="1" min="7" max="9" width="9.25"/>
    <col customWidth="1" hidden="1" min="10" max="11" width="9.25"/>
    <col customWidth="1" min="12" max="26" width="9.25"/>
  </cols>
  <sheetData>
    <row r="1" ht="13.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3.5" customHeight="1">
      <c r="A2" s="2"/>
      <c r="B2" s="120"/>
      <c r="C2" s="121" t="s">
        <v>120</v>
      </c>
      <c r="D2" s="121"/>
      <c r="E2" s="122" t="s">
        <v>32</v>
      </c>
      <c r="F2" s="87" t="s">
        <v>71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3.5" customHeight="1">
      <c r="A3" s="2"/>
      <c r="B3" s="123" t="s">
        <v>18</v>
      </c>
      <c r="C3" s="61"/>
      <c r="D3" s="61"/>
      <c r="E3" s="124">
        <f>E20/(150-D20*10)</f>
        <v>0</v>
      </c>
      <c r="F3" s="125">
        <f>E3</f>
        <v>0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3.5" customHeight="1">
      <c r="A4" s="2"/>
      <c r="B4" s="64" t="s">
        <v>33</v>
      </c>
      <c r="C4" s="64" t="s">
        <v>34</v>
      </c>
      <c r="D4" s="65" t="s">
        <v>35</v>
      </c>
      <c r="E4" s="66" t="s">
        <v>36</v>
      </c>
      <c r="F4" s="67" t="s">
        <v>37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3.5" customHeight="1">
      <c r="A5" s="2"/>
      <c r="B5" s="73">
        <v>1.0</v>
      </c>
      <c r="C5" s="126" t="s">
        <v>121</v>
      </c>
      <c r="D5" s="100" t="s">
        <v>30</v>
      </c>
      <c r="E5" s="71">
        <f t="shared" ref="E5:E19" si="1">IF(D5="Yes",10,IF(D5="Yes, Partially",5,IF(D5="No",0,"-")))</f>
        <v>0</v>
      </c>
      <c r="F5" s="72" t="s">
        <v>122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3.5" customHeight="1">
      <c r="A6" s="2"/>
      <c r="B6" s="73">
        <f t="shared" ref="B6:B7" si="2">+B5+1</f>
        <v>2</v>
      </c>
      <c r="C6" s="74" t="s">
        <v>123</v>
      </c>
      <c r="D6" s="78" t="s">
        <v>30</v>
      </c>
      <c r="E6" s="71">
        <f t="shared" si="1"/>
        <v>0</v>
      </c>
      <c r="F6" s="127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3.5" customHeight="1">
      <c r="A7" s="2"/>
      <c r="B7" s="73">
        <f t="shared" si="2"/>
        <v>3</v>
      </c>
      <c r="C7" s="74" t="s">
        <v>124</v>
      </c>
      <c r="D7" s="78" t="s">
        <v>30</v>
      </c>
      <c r="E7" s="71">
        <f t="shared" si="1"/>
        <v>0</v>
      </c>
      <c r="F7" s="127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3.5" customHeight="1">
      <c r="A8" s="2"/>
      <c r="B8" s="73">
        <f t="shared" ref="B8:B19" si="3">B7+1</f>
        <v>4</v>
      </c>
      <c r="C8" s="74" t="s">
        <v>125</v>
      </c>
      <c r="D8" s="78" t="s">
        <v>30</v>
      </c>
      <c r="E8" s="71">
        <f t="shared" si="1"/>
        <v>0</v>
      </c>
      <c r="F8" s="128"/>
      <c r="G8" s="2"/>
      <c r="H8" s="2"/>
      <c r="I8" s="2"/>
      <c r="J8" s="2"/>
      <c r="K8" s="2" t="s">
        <v>29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3.5" customHeight="1">
      <c r="A9" s="2"/>
      <c r="B9" s="73">
        <f t="shared" si="3"/>
        <v>5</v>
      </c>
      <c r="C9" s="74" t="s">
        <v>126</v>
      </c>
      <c r="D9" s="78" t="s">
        <v>30</v>
      </c>
      <c r="E9" s="71">
        <f t="shared" si="1"/>
        <v>0</v>
      </c>
      <c r="F9" s="128"/>
      <c r="G9" s="2"/>
      <c r="H9" s="2"/>
      <c r="I9" s="2"/>
      <c r="J9" s="2"/>
      <c r="K9" s="2" t="s">
        <v>39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3.5" customHeight="1">
      <c r="A10" s="2"/>
      <c r="B10" s="73">
        <f t="shared" si="3"/>
        <v>6</v>
      </c>
      <c r="C10" s="74" t="s">
        <v>127</v>
      </c>
      <c r="D10" s="78" t="s">
        <v>30</v>
      </c>
      <c r="E10" s="71">
        <f t="shared" si="1"/>
        <v>0</v>
      </c>
      <c r="F10" s="128"/>
      <c r="G10" s="2"/>
      <c r="H10" s="2"/>
      <c r="I10" s="2"/>
      <c r="J10" s="2"/>
      <c r="K10" s="2" t="s">
        <v>30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3.5" customHeight="1">
      <c r="A11" s="2"/>
      <c r="B11" s="73">
        <f t="shared" si="3"/>
        <v>7</v>
      </c>
      <c r="C11" s="74" t="s">
        <v>128</v>
      </c>
      <c r="D11" s="78" t="s">
        <v>30</v>
      </c>
      <c r="E11" s="71">
        <f t="shared" si="1"/>
        <v>0</v>
      </c>
      <c r="F11" s="128"/>
      <c r="G11" s="2"/>
      <c r="H11" s="2"/>
      <c r="I11" s="2"/>
      <c r="J11" s="2"/>
      <c r="K11" s="2" t="s">
        <v>53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3.5" customHeight="1">
      <c r="A12" s="2"/>
      <c r="B12" s="73">
        <f t="shared" si="3"/>
        <v>8</v>
      </c>
      <c r="C12" s="74" t="s">
        <v>129</v>
      </c>
      <c r="D12" s="78" t="s">
        <v>30</v>
      </c>
      <c r="E12" s="71">
        <f t="shared" si="1"/>
        <v>0</v>
      </c>
      <c r="F12" s="128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3.5" customHeight="1">
      <c r="A13" s="2"/>
      <c r="B13" s="73">
        <f t="shared" si="3"/>
        <v>9</v>
      </c>
      <c r="C13" s="74" t="s">
        <v>130</v>
      </c>
      <c r="D13" s="78" t="s">
        <v>30</v>
      </c>
      <c r="E13" s="71">
        <f t="shared" si="1"/>
        <v>0</v>
      </c>
      <c r="F13" s="128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3.5" customHeight="1">
      <c r="A14" s="2"/>
      <c r="B14" s="73">
        <f t="shared" si="3"/>
        <v>10</v>
      </c>
      <c r="C14" s="74" t="s">
        <v>131</v>
      </c>
      <c r="D14" s="78" t="s">
        <v>30</v>
      </c>
      <c r="E14" s="71">
        <f t="shared" si="1"/>
        <v>0</v>
      </c>
      <c r="F14" s="128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3.5" customHeight="1">
      <c r="A15" s="2"/>
      <c r="B15" s="73">
        <f t="shared" si="3"/>
        <v>11</v>
      </c>
      <c r="C15" s="74" t="s">
        <v>132</v>
      </c>
      <c r="D15" s="78" t="s">
        <v>30</v>
      </c>
      <c r="E15" s="71">
        <f t="shared" si="1"/>
        <v>0</v>
      </c>
      <c r="F15" s="128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3.5" customHeight="1">
      <c r="A16" s="2"/>
      <c r="B16" s="73">
        <f t="shared" si="3"/>
        <v>12</v>
      </c>
      <c r="C16" s="74" t="s">
        <v>133</v>
      </c>
      <c r="D16" s="78" t="s">
        <v>30</v>
      </c>
      <c r="E16" s="71">
        <f t="shared" si="1"/>
        <v>0</v>
      </c>
      <c r="F16" s="128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3.5" customHeight="1">
      <c r="A17" s="2"/>
      <c r="B17" s="73">
        <f t="shared" si="3"/>
        <v>13</v>
      </c>
      <c r="C17" s="74" t="s">
        <v>134</v>
      </c>
      <c r="D17" s="78" t="s">
        <v>30</v>
      </c>
      <c r="E17" s="71">
        <f t="shared" si="1"/>
        <v>0</v>
      </c>
      <c r="F17" s="128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3.5" customHeight="1">
      <c r="A18" s="2"/>
      <c r="B18" s="73">
        <f t="shared" si="3"/>
        <v>14</v>
      </c>
      <c r="C18" s="129" t="s">
        <v>135</v>
      </c>
      <c r="D18" s="78" t="s">
        <v>30</v>
      </c>
      <c r="E18" s="71">
        <f t="shared" si="1"/>
        <v>0</v>
      </c>
      <c r="F18" s="128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3.5" customHeight="1">
      <c r="A19" s="2"/>
      <c r="B19" s="73">
        <f t="shared" si="3"/>
        <v>15</v>
      </c>
      <c r="C19" s="129" t="s">
        <v>136</v>
      </c>
      <c r="D19" s="113" t="s">
        <v>30</v>
      </c>
      <c r="E19" s="71">
        <f t="shared" si="1"/>
        <v>0</v>
      </c>
      <c r="F19" s="128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3.5" customHeight="1">
      <c r="A20" s="2"/>
      <c r="B20" s="130"/>
      <c r="C20" s="131" t="s">
        <v>69</v>
      </c>
      <c r="D20" s="132">
        <f>COUNTIF(D5:D19,"N/A")</f>
        <v>0</v>
      </c>
      <c r="E20" s="132">
        <f>SUM(E5:E19)</f>
        <v>0</v>
      </c>
      <c r="F20" s="133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3.5" customHeight="1">
      <c r="A21" s="2"/>
      <c r="B21" s="134"/>
      <c r="C21" s="135"/>
      <c r="D21" s="136"/>
      <c r="E21" s="134"/>
      <c r="F21" s="137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3.5" customHeight="1">
      <c r="A22" s="2"/>
      <c r="B22" s="138"/>
      <c r="C22" s="139"/>
      <c r="D22" s="140"/>
      <c r="E22" s="138"/>
      <c r="F22" s="141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3.5" customHeight="1">
      <c r="A23" s="2"/>
      <c r="B23" s="138"/>
      <c r="C23" s="139"/>
      <c r="D23" s="140"/>
      <c r="E23" s="138"/>
      <c r="F23" s="141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3.5" customHeight="1">
      <c r="A24" s="2"/>
      <c r="B24" s="138"/>
      <c r="C24" s="139"/>
      <c r="D24" s="140"/>
      <c r="E24" s="138"/>
      <c r="F24" s="141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3.5" customHeight="1">
      <c r="A25" s="2"/>
      <c r="B25" s="138"/>
      <c r="C25" s="139"/>
      <c r="D25" s="140"/>
      <c r="E25" s="138"/>
      <c r="F25" s="141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3.5" customHeight="1">
      <c r="A26" s="2"/>
      <c r="B26" s="138"/>
      <c r="C26" s="139"/>
      <c r="D26" s="140"/>
      <c r="E26" s="138"/>
      <c r="F26" s="141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2.0" customHeight="1">
      <c r="A27" s="2"/>
      <c r="B27" s="138"/>
      <c r="C27" s="2"/>
      <c r="D27" s="140"/>
      <c r="E27" s="138"/>
      <c r="F27" s="141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138"/>
      <c r="C28" s="139"/>
      <c r="D28" s="140"/>
      <c r="E28" s="138"/>
      <c r="F28" s="141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3.5" customHeight="1">
      <c r="A29" s="2"/>
      <c r="B29" s="138"/>
      <c r="C29" s="139"/>
      <c r="D29" s="140"/>
      <c r="E29" s="138"/>
      <c r="F29" s="141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3.5" customHeight="1">
      <c r="A30" s="2"/>
      <c r="B30" s="138"/>
      <c r="C30" s="139"/>
      <c r="D30" s="140"/>
      <c r="E30" s="138"/>
      <c r="F30" s="141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3.5" customHeight="1">
      <c r="A31" s="2"/>
      <c r="B31" s="138"/>
      <c r="C31" s="139"/>
      <c r="D31" s="140"/>
      <c r="E31" s="138"/>
      <c r="F31" s="141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3.5" customHeight="1">
      <c r="A32" s="2"/>
      <c r="B32" s="138"/>
      <c r="C32" s="2"/>
      <c r="D32" s="140"/>
      <c r="E32" s="138"/>
      <c r="F32" s="141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3.5" customHeight="1">
      <c r="A33" s="2"/>
      <c r="B33" s="138"/>
      <c r="C33" s="141"/>
      <c r="D33" s="140"/>
      <c r="E33" s="138"/>
      <c r="F33" s="141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3.5" customHeight="1">
      <c r="A34" s="2"/>
      <c r="B34" s="138"/>
      <c r="C34" s="141"/>
      <c r="D34" s="140"/>
      <c r="E34" s="138"/>
      <c r="F34" s="141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3.5" customHeight="1">
      <c r="A35" s="2"/>
      <c r="B35" s="138"/>
      <c r="C35" s="141"/>
      <c r="D35" s="140"/>
      <c r="E35" s="138"/>
      <c r="F35" s="141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3.5" customHeight="1">
      <c r="A36" s="2"/>
      <c r="B36" s="138"/>
      <c r="C36" s="141"/>
      <c r="D36" s="140"/>
      <c r="E36" s="138"/>
      <c r="F36" s="141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3.5" customHeight="1">
      <c r="A37" s="2"/>
      <c r="B37" s="138"/>
      <c r="C37" s="141"/>
      <c r="D37" s="140"/>
      <c r="E37" s="138"/>
      <c r="F37" s="141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3.5" customHeight="1">
      <c r="A38" s="2"/>
      <c r="B38" s="138"/>
      <c r="C38" s="2"/>
      <c r="D38" s="140"/>
      <c r="E38" s="138"/>
      <c r="F38" s="141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3.5" customHeight="1">
      <c r="A39" s="2"/>
      <c r="B39" s="142"/>
      <c r="C39" s="142"/>
      <c r="D39" s="142"/>
      <c r="E39" s="142"/>
      <c r="F39" s="14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3.5" customHeight="1">
      <c r="A40" s="2"/>
      <c r="B40" s="142"/>
      <c r="C40" s="142"/>
      <c r="D40" s="142"/>
      <c r="E40" s="142"/>
      <c r="F40" s="14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3.5" customHeight="1">
      <c r="A41" s="2"/>
      <c r="B41" s="138"/>
      <c r="C41" s="141"/>
      <c r="D41" s="140"/>
      <c r="E41" s="138"/>
      <c r="F41" s="141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3.5" customHeight="1">
      <c r="A42" s="2"/>
      <c r="B42" s="138"/>
      <c r="C42" s="141"/>
      <c r="D42" s="140"/>
      <c r="E42" s="138"/>
      <c r="F42" s="141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3.5" customHeight="1">
      <c r="A43" s="2"/>
      <c r="B43" s="138"/>
      <c r="C43" s="141"/>
      <c r="D43" s="140"/>
      <c r="E43" s="138"/>
      <c r="F43" s="141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3.5" customHeight="1">
      <c r="A44" s="2"/>
      <c r="B44" s="138"/>
      <c r="C44" s="141"/>
      <c r="D44" s="140"/>
      <c r="E44" s="138"/>
      <c r="F44" s="141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3.5" customHeight="1">
      <c r="A45" s="2"/>
      <c r="B45" s="138"/>
      <c r="C45" s="141"/>
      <c r="D45" s="140"/>
      <c r="E45" s="138"/>
      <c r="F45" s="141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3.5" customHeight="1">
      <c r="A46" s="2"/>
      <c r="B46" s="138"/>
      <c r="C46" s="141"/>
      <c r="D46" s="140"/>
      <c r="E46" s="138"/>
      <c r="F46" s="141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3.5" customHeight="1">
      <c r="A47" s="2"/>
      <c r="B47" s="138"/>
      <c r="C47" s="141"/>
      <c r="D47" s="140"/>
      <c r="E47" s="138"/>
      <c r="F47" s="141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3.5" customHeight="1">
      <c r="A48" s="2"/>
      <c r="B48" s="138"/>
      <c r="C48" s="141"/>
      <c r="D48" s="140"/>
      <c r="E48" s="138"/>
      <c r="F48" s="141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3.5" customHeight="1">
      <c r="A49" s="2"/>
      <c r="B49" s="142"/>
      <c r="C49" s="142"/>
      <c r="D49" s="142"/>
      <c r="E49" s="142"/>
      <c r="F49" s="14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3.5" customHeight="1">
      <c r="A50" s="2"/>
      <c r="B50" s="142"/>
      <c r="C50" s="142"/>
      <c r="D50" s="142"/>
      <c r="E50" s="142"/>
      <c r="F50" s="14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3.5" customHeight="1">
      <c r="A51" s="2"/>
      <c r="B51" s="138"/>
      <c r="C51" s="139"/>
      <c r="D51" s="140"/>
      <c r="E51" s="140"/>
      <c r="F51" s="141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3.5" customHeight="1">
      <c r="A52" s="2"/>
      <c r="B52" s="138"/>
      <c r="C52" s="139"/>
      <c r="D52" s="140"/>
      <c r="E52" s="140"/>
      <c r="F52" s="141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3.5" customHeight="1">
      <c r="A53" s="2"/>
      <c r="B53" s="138"/>
      <c r="C53" s="139"/>
      <c r="D53" s="140"/>
      <c r="E53" s="140"/>
      <c r="F53" s="141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3.5" customHeight="1">
      <c r="A54" s="2"/>
      <c r="B54" s="138"/>
      <c r="C54" s="2"/>
      <c r="D54" s="140"/>
      <c r="E54" s="140"/>
      <c r="F54" s="141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3.5" customHeight="1">
      <c r="A55" s="2"/>
      <c r="B55" s="138"/>
      <c r="C55" s="139"/>
      <c r="D55" s="140"/>
      <c r="E55" s="140"/>
      <c r="F55" s="141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3.5" customHeight="1">
      <c r="A56" s="2"/>
      <c r="B56" s="138"/>
      <c r="C56" s="2"/>
      <c r="D56" s="140"/>
      <c r="E56" s="140"/>
      <c r="F56" s="141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3.5" customHeight="1">
      <c r="A57" s="2"/>
      <c r="B57" s="138"/>
      <c r="C57" s="141"/>
      <c r="D57" s="140"/>
      <c r="E57" s="140"/>
      <c r="F57" s="141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3.5" customHeight="1">
      <c r="A58" s="2"/>
      <c r="B58" s="138"/>
      <c r="C58" s="141"/>
      <c r="D58" s="140"/>
      <c r="E58" s="140"/>
      <c r="F58" s="141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3.5" customHeight="1">
      <c r="A59" s="2"/>
      <c r="B59" s="138"/>
      <c r="C59" s="2"/>
      <c r="D59" s="140"/>
      <c r="E59" s="140"/>
      <c r="F59" s="141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3.5" customHeight="1">
      <c r="A60" s="2"/>
      <c r="B60" s="138"/>
      <c r="C60" s="139"/>
      <c r="D60" s="140"/>
      <c r="E60" s="140"/>
      <c r="F60" s="141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3.5" customHeight="1">
      <c r="A61" s="2"/>
      <c r="B61" s="138"/>
      <c r="C61" s="141"/>
      <c r="D61" s="140"/>
      <c r="E61" s="140"/>
      <c r="F61" s="141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3.5" customHeight="1">
      <c r="A62" s="2"/>
      <c r="B62" s="143"/>
      <c r="C62" s="144"/>
      <c r="D62" s="143"/>
      <c r="E62" s="143"/>
      <c r="F62" s="143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3.5" customHeight="1">
      <c r="A63" s="2"/>
      <c r="B63" s="119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3.5" customHeight="1">
      <c r="A64" s="2"/>
      <c r="B64" s="119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3.5" customHeight="1">
      <c r="A65" s="2"/>
      <c r="B65" s="119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3.5" customHeight="1">
      <c r="A66" s="2"/>
      <c r="B66" s="119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3.5" customHeight="1">
      <c r="A67" s="2"/>
      <c r="B67" s="119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3.5" customHeight="1">
      <c r="A68" s="2"/>
      <c r="B68" s="119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3.5" customHeight="1">
      <c r="A69" s="2"/>
      <c r="B69" s="119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3.5" customHeight="1">
      <c r="A70" s="2"/>
      <c r="B70" s="119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3.5" customHeight="1">
      <c r="A71" s="2"/>
      <c r="B71" s="119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3.5" customHeight="1">
      <c r="A72" s="2"/>
      <c r="B72" s="119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3.5" customHeight="1">
      <c r="A73" s="2"/>
      <c r="B73" s="119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3.5" customHeight="1">
      <c r="A74" s="2"/>
      <c r="B74" s="119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3.5" customHeight="1">
      <c r="A75" s="2"/>
      <c r="B75" s="119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3.5" customHeight="1">
      <c r="A76" s="2"/>
      <c r="B76" s="119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3.5" customHeight="1">
      <c r="A77" s="2"/>
      <c r="B77" s="119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3.5" customHeight="1">
      <c r="A78" s="2"/>
      <c r="B78" s="119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3.5" customHeight="1">
      <c r="A79" s="2"/>
      <c r="B79" s="119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3.5" customHeight="1">
      <c r="A80" s="2"/>
      <c r="B80" s="119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3.5" customHeight="1">
      <c r="A81" s="2"/>
      <c r="B81" s="119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3.5" customHeight="1">
      <c r="A82" s="2"/>
      <c r="B82" s="119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3.5" customHeight="1">
      <c r="A83" s="2"/>
      <c r="B83" s="119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3.5" customHeight="1">
      <c r="A84" s="2"/>
      <c r="B84" s="119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3.5" customHeight="1">
      <c r="A85" s="2"/>
      <c r="B85" s="119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3.5" customHeight="1">
      <c r="A86" s="2"/>
      <c r="B86" s="119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3.5" customHeight="1">
      <c r="A87" s="2"/>
      <c r="B87" s="119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3.5" customHeight="1">
      <c r="A88" s="2"/>
      <c r="B88" s="119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3.5" customHeight="1">
      <c r="A89" s="2"/>
      <c r="B89" s="119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3.5" customHeight="1">
      <c r="A90" s="2"/>
      <c r="B90" s="119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3.5" customHeight="1">
      <c r="A91" s="2"/>
      <c r="B91" s="119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3.5" customHeight="1">
      <c r="A92" s="2"/>
      <c r="B92" s="119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3.5" customHeight="1">
      <c r="A93" s="2"/>
      <c r="B93" s="119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3.5" customHeight="1">
      <c r="A94" s="2"/>
      <c r="B94" s="119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3.5" customHeight="1">
      <c r="A95" s="2"/>
      <c r="B95" s="119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3.5" customHeight="1">
      <c r="A96" s="2"/>
      <c r="B96" s="119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3.5" customHeight="1">
      <c r="A97" s="2"/>
      <c r="B97" s="119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3.5" customHeight="1">
      <c r="A98" s="2"/>
      <c r="B98" s="119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3.5" customHeight="1">
      <c r="A99" s="2"/>
      <c r="B99" s="119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3.5" customHeight="1">
      <c r="A100" s="2"/>
      <c r="B100" s="119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3.5" customHeight="1">
      <c r="A101" s="2"/>
      <c r="B101" s="119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3.5" customHeight="1">
      <c r="A102" s="2"/>
      <c r="B102" s="119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3.5" customHeight="1">
      <c r="A103" s="2"/>
      <c r="B103" s="119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3.5" customHeight="1">
      <c r="A104" s="2"/>
      <c r="B104" s="119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3.5" customHeight="1">
      <c r="A105" s="2"/>
      <c r="B105" s="119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3.5" customHeight="1">
      <c r="A106" s="2"/>
      <c r="B106" s="119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3.5" customHeight="1">
      <c r="A107" s="2"/>
      <c r="B107" s="119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3.5" customHeight="1">
      <c r="A108" s="2"/>
      <c r="B108" s="119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3.5" customHeight="1">
      <c r="A109" s="2"/>
      <c r="B109" s="119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3.5" customHeight="1">
      <c r="A110" s="2"/>
      <c r="B110" s="119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3.5" customHeight="1">
      <c r="A111" s="2"/>
      <c r="B111" s="119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3.5" customHeight="1">
      <c r="A112" s="2"/>
      <c r="B112" s="119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3.5" customHeight="1">
      <c r="A113" s="2"/>
      <c r="B113" s="119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3.5" customHeight="1">
      <c r="A114" s="2"/>
      <c r="B114" s="119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3.5" customHeight="1">
      <c r="A115" s="2"/>
      <c r="B115" s="119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3.5" customHeight="1">
      <c r="A116" s="2"/>
      <c r="B116" s="119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3.5" customHeight="1">
      <c r="A117" s="2"/>
      <c r="B117" s="119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3.5" customHeight="1">
      <c r="A118" s="2"/>
      <c r="B118" s="119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3.5" customHeight="1">
      <c r="A119" s="2"/>
      <c r="B119" s="119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3.5" customHeight="1">
      <c r="A120" s="2"/>
      <c r="B120" s="119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3.5" customHeight="1">
      <c r="A121" s="2"/>
      <c r="B121" s="119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3.5" customHeight="1">
      <c r="A122" s="2"/>
      <c r="B122" s="119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3.5" customHeight="1">
      <c r="A123" s="2"/>
      <c r="B123" s="119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3.5" customHeight="1">
      <c r="A124" s="2"/>
      <c r="B124" s="119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3.5" customHeight="1">
      <c r="A125" s="2"/>
      <c r="B125" s="119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3.5" customHeight="1">
      <c r="A126" s="2"/>
      <c r="B126" s="119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3.5" customHeight="1">
      <c r="A127" s="2"/>
      <c r="B127" s="119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3.5" customHeight="1">
      <c r="A128" s="2"/>
      <c r="B128" s="119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3.5" customHeight="1">
      <c r="A129" s="2"/>
      <c r="B129" s="119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3.5" customHeight="1">
      <c r="A130" s="2"/>
      <c r="B130" s="119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3.5" customHeight="1">
      <c r="A131" s="2"/>
      <c r="B131" s="119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3.5" customHeight="1">
      <c r="A132" s="2"/>
      <c r="B132" s="119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3.5" customHeight="1">
      <c r="A133" s="2"/>
      <c r="B133" s="119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3.5" customHeight="1">
      <c r="A134" s="2"/>
      <c r="B134" s="119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3.5" customHeight="1">
      <c r="A135" s="2"/>
      <c r="B135" s="119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3.5" customHeight="1">
      <c r="A136" s="2"/>
      <c r="B136" s="119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3.5" customHeight="1">
      <c r="A137" s="2"/>
      <c r="B137" s="119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3.5" customHeight="1">
      <c r="A138" s="2"/>
      <c r="B138" s="119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3.5" customHeight="1">
      <c r="A139" s="2"/>
      <c r="B139" s="119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3.5" customHeight="1">
      <c r="A140" s="2"/>
      <c r="B140" s="119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3.5" customHeight="1">
      <c r="A141" s="2"/>
      <c r="B141" s="119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3.5" customHeight="1">
      <c r="A142" s="2"/>
      <c r="B142" s="119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3.5" customHeight="1">
      <c r="A143" s="2"/>
      <c r="B143" s="119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3.5" customHeight="1">
      <c r="A144" s="2"/>
      <c r="B144" s="119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3.5" customHeight="1">
      <c r="A145" s="2"/>
      <c r="B145" s="119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3.5" customHeight="1">
      <c r="A146" s="2"/>
      <c r="B146" s="119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3.5" customHeight="1">
      <c r="A147" s="2"/>
      <c r="B147" s="119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3.5" customHeight="1">
      <c r="A148" s="2"/>
      <c r="B148" s="119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3.5" customHeight="1">
      <c r="A149" s="2"/>
      <c r="B149" s="119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3.5" customHeight="1">
      <c r="A150" s="2"/>
      <c r="B150" s="119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3.5" customHeight="1">
      <c r="A151" s="2"/>
      <c r="B151" s="119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3.5" customHeight="1">
      <c r="A152" s="2"/>
      <c r="B152" s="119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3.5" customHeight="1">
      <c r="A153" s="2"/>
      <c r="B153" s="119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3.5" customHeight="1">
      <c r="A154" s="2"/>
      <c r="B154" s="119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3.5" customHeight="1">
      <c r="A155" s="2"/>
      <c r="B155" s="119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3.5" customHeight="1">
      <c r="A156" s="2"/>
      <c r="B156" s="119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3.5" customHeight="1">
      <c r="A157" s="2"/>
      <c r="B157" s="119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3.5" customHeight="1">
      <c r="A158" s="2"/>
      <c r="B158" s="119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3.5" customHeight="1">
      <c r="A159" s="2"/>
      <c r="B159" s="119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3.5" customHeight="1">
      <c r="A160" s="2"/>
      <c r="B160" s="119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3.5" customHeight="1">
      <c r="A161" s="2"/>
      <c r="B161" s="119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3.5" customHeight="1">
      <c r="A162" s="2"/>
      <c r="B162" s="119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3.5" customHeight="1">
      <c r="A163" s="2"/>
      <c r="B163" s="119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3.5" customHeight="1">
      <c r="A164" s="2"/>
      <c r="B164" s="119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3.5" customHeight="1">
      <c r="A165" s="2"/>
      <c r="B165" s="119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3.5" customHeight="1">
      <c r="A166" s="2"/>
      <c r="B166" s="119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3.5" customHeight="1">
      <c r="A167" s="2"/>
      <c r="B167" s="119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3.5" customHeight="1">
      <c r="A168" s="2"/>
      <c r="B168" s="119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3.5" customHeight="1">
      <c r="A169" s="2"/>
      <c r="B169" s="119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3.5" customHeight="1">
      <c r="A170" s="2"/>
      <c r="B170" s="119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3.5" customHeight="1">
      <c r="A171" s="2"/>
      <c r="B171" s="119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3.5" customHeight="1">
      <c r="A172" s="2"/>
      <c r="B172" s="119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3.5" customHeight="1">
      <c r="A173" s="2"/>
      <c r="B173" s="119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3.5" customHeight="1">
      <c r="A174" s="2"/>
      <c r="B174" s="119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3.5" customHeight="1">
      <c r="A175" s="2"/>
      <c r="B175" s="119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3.5" customHeight="1">
      <c r="A176" s="2"/>
      <c r="B176" s="119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3.5" customHeight="1">
      <c r="A177" s="2"/>
      <c r="B177" s="119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3.5" customHeight="1">
      <c r="A178" s="2"/>
      <c r="B178" s="119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3.5" customHeight="1">
      <c r="A179" s="2"/>
      <c r="B179" s="119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3.5" customHeight="1">
      <c r="A180" s="2"/>
      <c r="B180" s="119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3.5" customHeight="1">
      <c r="A181" s="2"/>
      <c r="B181" s="119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3.5" customHeight="1">
      <c r="A182" s="2"/>
      <c r="B182" s="119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3.5" customHeight="1">
      <c r="A183" s="2"/>
      <c r="B183" s="119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3.5" customHeight="1">
      <c r="A184" s="2"/>
      <c r="B184" s="119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3.5" customHeight="1">
      <c r="A185" s="2"/>
      <c r="B185" s="119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3.5" customHeight="1">
      <c r="A186" s="2"/>
      <c r="B186" s="119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3.5" customHeight="1">
      <c r="A187" s="2"/>
      <c r="B187" s="119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3.5" customHeight="1">
      <c r="A188" s="2"/>
      <c r="B188" s="119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3.5" customHeight="1">
      <c r="A189" s="2"/>
      <c r="B189" s="119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3.5" customHeight="1">
      <c r="A190" s="2"/>
      <c r="B190" s="119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3.5" customHeight="1">
      <c r="A191" s="2"/>
      <c r="B191" s="119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3.5" customHeight="1">
      <c r="A192" s="2"/>
      <c r="B192" s="119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3.5" customHeight="1">
      <c r="A193" s="2"/>
      <c r="B193" s="119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3.5" customHeight="1">
      <c r="A194" s="2"/>
      <c r="B194" s="119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3.5" customHeight="1">
      <c r="A195" s="2"/>
      <c r="B195" s="119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3.5" customHeight="1">
      <c r="A196" s="2"/>
      <c r="B196" s="119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3.5" customHeight="1">
      <c r="A197" s="2"/>
      <c r="B197" s="119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3.5" customHeight="1">
      <c r="A198" s="2"/>
      <c r="B198" s="119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3.5" customHeight="1">
      <c r="A199" s="2"/>
      <c r="B199" s="119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3.5" customHeight="1">
      <c r="A200" s="2"/>
      <c r="B200" s="119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3.5" customHeight="1">
      <c r="A201" s="2"/>
      <c r="B201" s="119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3.5" customHeight="1">
      <c r="A202" s="2"/>
      <c r="B202" s="119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3.5" customHeight="1">
      <c r="A203" s="2"/>
      <c r="B203" s="119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3.5" customHeight="1">
      <c r="A204" s="2"/>
      <c r="B204" s="119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3.5" customHeight="1">
      <c r="A205" s="2"/>
      <c r="B205" s="119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3.5" customHeight="1">
      <c r="A206" s="2"/>
      <c r="B206" s="119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3.5" customHeight="1">
      <c r="A207" s="2"/>
      <c r="B207" s="119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3.5" customHeight="1">
      <c r="A208" s="2"/>
      <c r="B208" s="119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3.5" customHeight="1">
      <c r="A209" s="2"/>
      <c r="B209" s="119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3.5" customHeight="1">
      <c r="A210" s="2"/>
      <c r="B210" s="119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3.5" customHeight="1">
      <c r="A211" s="2"/>
      <c r="B211" s="119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3.5" customHeight="1">
      <c r="A212" s="2"/>
      <c r="B212" s="119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3.5" customHeight="1">
      <c r="A213" s="2"/>
      <c r="B213" s="119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3.5" customHeight="1">
      <c r="A214" s="2"/>
      <c r="B214" s="119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3.5" customHeight="1">
      <c r="A215" s="2"/>
      <c r="B215" s="119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3.5" customHeight="1">
      <c r="A216" s="2"/>
      <c r="B216" s="119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3.5" customHeight="1">
      <c r="A217" s="2"/>
      <c r="B217" s="119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3.5" customHeight="1">
      <c r="A218" s="2"/>
      <c r="B218" s="119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3.5" customHeight="1">
      <c r="A219" s="2"/>
      <c r="B219" s="119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3.5" customHeight="1">
      <c r="A220" s="2"/>
      <c r="B220" s="119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3.5" customHeight="1">
      <c r="A221" s="2"/>
      <c r="B221" s="119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3.5" customHeight="1">
      <c r="A222" s="2"/>
      <c r="B222" s="119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3.5" customHeight="1">
      <c r="A223" s="2"/>
      <c r="B223" s="119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3.5" customHeight="1">
      <c r="A224" s="2"/>
      <c r="B224" s="119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3.5" customHeight="1">
      <c r="A225" s="2"/>
      <c r="B225" s="119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3.5" customHeight="1">
      <c r="A226" s="2"/>
      <c r="B226" s="119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3.5" customHeight="1">
      <c r="A227" s="2"/>
      <c r="B227" s="119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3.5" customHeight="1">
      <c r="A228" s="2"/>
      <c r="B228" s="119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3.5" customHeight="1">
      <c r="A229" s="2"/>
      <c r="B229" s="119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3.5" customHeight="1">
      <c r="A230" s="2"/>
      <c r="B230" s="119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3.5" customHeight="1">
      <c r="A231" s="2"/>
      <c r="B231" s="119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3.5" customHeight="1">
      <c r="A232" s="2"/>
      <c r="B232" s="119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3.5" customHeight="1">
      <c r="A233" s="2"/>
      <c r="B233" s="119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3.5" customHeight="1">
      <c r="A234" s="2"/>
      <c r="B234" s="119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3.5" customHeight="1">
      <c r="A235" s="2"/>
      <c r="B235" s="119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3.5" customHeight="1">
      <c r="A236" s="2"/>
      <c r="B236" s="119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3.5" customHeight="1">
      <c r="A237" s="2"/>
      <c r="B237" s="119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3.5" customHeight="1">
      <c r="A238" s="2"/>
      <c r="B238" s="119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3.5" customHeight="1">
      <c r="A239" s="2"/>
      <c r="B239" s="119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3.5" customHeight="1">
      <c r="A240" s="2"/>
      <c r="B240" s="119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3.5" customHeight="1">
      <c r="A241" s="2"/>
      <c r="B241" s="119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3.5" customHeight="1">
      <c r="A242" s="2"/>
      <c r="B242" s="119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3.5" customHeight="1">
      <c r="A243" s="2"/>
      <c r="B243" s="119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3.5" customHeight="1">
      <c r="A244" s="2"/>
      <c r="B244" s="119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3.5" customHeight="1">
      <c r="A245" s="2"/>
      <c r="B245" s="119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3.5" customHeight="1">
      <c r="A246" s="2"/>
      <c r="B246" s="119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3.5" customHeight="1">
      <c r="A247" s="2"/>
      <c r="B247" s="119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3.5" customHeight="1">
      <c r="A248" s="2"/>
      <c r="B248" s="119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3.5" customHeight="1">
      <c r="A249" s="2"/>
      <c r="B249" s="119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3.5" customHeight="1">
      <c r="A250" s="2"/>
      <c r="B250" s="119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3.5" customHeight="1">
      <c r="A251" s="2"/>
      <c r="B251" s="119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3.5" customHeight="1">
      <c r="A252" s="2"/>
      <c r="B252" s="119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3.5" customHeight="1">
      <c r="A253" s="2"/>
      <c r="B253" s="119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3.5" customHeight="1">
      <c r="A254" s="2"/>
      <c r="B254" s="119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3.5" customHeight="1">
      <c r="A255" s="2"/>
      <c r="B255" s="119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3.5" customHeight="1">
      <c r="A256" s="2"/>
      <c r="B256" s="119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3.5" customHeight="1">
      <c r="A257" s="2"/>
      <c r="B257" s="119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3.5" customHeight="1">
      <c r="A258" s="2"/>
      <c r="B258" s="119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3.5" customHeight="1">
      <c r="A259" s="2"/>
      <c r="B259" s="119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3.5" customHeight="1">
      <c r="A260" s="2"/>
      <c r="B260" s="119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3.5" customHeight="1">
      <c r="A261" s="2"/>
      <c r="B261" s="119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3.5" customHeight="1">
      <c r="A262" s="2"/>
      <c r="B262" s="119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3.5" customHeight="1">
      <c r="A263" s="2"/>
      <c r="B263" s="119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3.5" customHeight="1">
      <c r="A264" s="2"/>
      <c r="B264" s="119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3.5" customHeight="1">
      <c r="A265" s="2"/>
      <c r="B265" s="119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3.5" customHeight="1">
      <c r="A266" s="2"/>
      <c r="B266" s="119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3.5" customHeight="1">
      <c r="A267" s="2"/>
      <c r="B267" s="119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3.5" customHeight="1">
      <c r="A268" s="2"/>
      <c r="B268" s="119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3.5" customHeight="1">
      <c r="A269" s="2"/>
      <c r="B269" s="119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3.5" customHeight="1">
      <c r="A270" s="2"/>
      <c r="B270" s="119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3.5" customHeight="1">
      <c r="A271" s="2"/>
      <c r="B271" s="119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3.5" customHeight="1">
      <c r="A272" s="2"/>
      <c r="B272" s="119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3.5" customHeight="1">
      <c r="A273" s="2"/>
      <c r="B273" s="119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3.5" customHeight="1">
      <c r="A274" s="2"/>
      <c r="B274" s="119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3.5" customHeight="1">
      <c r="A275" s="2"/>
      <c r="B275" s="119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3.5" customHeight="1">
      <c r="A276" s="2"/>
      <c r="B276" s="119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3.5" customHeight="1">
      <c r="A277" s="2"/>
      <c r="B277" s="119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3.5" customHeight="1">
      <c r="A278" s="2"/>
      <c r="B278" s="119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3.5" customHeight="1">
      <c r="A279" s="2"/>
      <c r="B279" s="119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3.5" customHeight="1">
      <c r="A280" s="2"/>
      <c r="B280" s="119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3.5" customHeight="1">
      <c r="A281" s="2"/>
      <c r="B281" s="119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3.5" customHeight="1">
      <c r="A282" s="2"/>
      <c r="B282" s="119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3.5" customHeight="1">
      <c r="A283" s="2"/>
      <c r="B283" s="119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3.5" customHeight="1">
      <c r="A284" s="2"/>
      <c r="B284" s="119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3.5" customHeight="1">
      <c r="A285" s="2"/>
      <c r="B285" s="119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3.5" customHeight="1">
      <c r="A286" s="2"/>
      <c r="B286" s="119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3.5" customHeight="1">
      <c r="A287" s="2"/>
      <c r="B287" s="119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3.5" customHeight="1">
      <c r="A288" s="2"/>
      <c r="B288" s="119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3.5" customHeight="1">
      <c r="A289" s="2"/>
      <c r="B289" s="119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3.5" customHeight="1">
      <c r="A290" s="2"/>
      <c r="B290" s="119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3.5" customHeight="1">
      <c r="A291" s="2"/>
      <c r="B291" s="119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3.5" customHeight="1">
      <c r="A292" s="2"/>
      <c r="B292" s="119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3.5" customHeight="1">
      <c r="A293" s="2"/>
      <c r="B293" s="119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3.5" customHeight="1">
      <c r="A294" s="2"/>
      <c r="B294" s="119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3.5" customHeight="1">
      <c r="A295" s="2"/>
      <c r="B295" s="119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3.5" customHeight="1">
      <c r="A296" s="2"/>
      <c r="B296" s="119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3.5" customHeight="1">
      <c r="A297" s="2"/>
      <c r="B297" s="119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3.5" customHeight="1">
      <c r="A298" s="2"/>
      <c r="B298" s="119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3.5" customHeight="1">
      <c r="A299" s="2"/>
      <c r="B299" s="119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3.5" customHeight="1">
      <c r="A300" s="2"/>
      <c r="B300" s="119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3.5" customHeight="1">
      <c r="A301" s="2"/>
      <c r="B301" s="119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3.5" customHeight="1">
      <c r="A302" s="2"/>
      <c r="B302" s="119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3.5" customHeight="1">
      <c r="A303" s="2"/>
      <c r="B303" s="119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3.5" customHeight="1">
      <c r="A304" s="2"/>
      <c r="B304" s="119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3.5" customHeight="1">
      <c r="A305" s="2"/>
      <c r="B305" s="119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3.5" customHeight="1">
      <c r="A306" s="2"/>
      <c r="B306" s="119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3.5" customHeight="1">
      <c r="A307" s="2"/>
      <c r="B307" s="119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3.5" customHeight="1">
      <c r="A308" s="2"/>
      <c r="B308" s="119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3.5" customHeight="1">
      <c r="A309" s="2"/>
      <c r="B309" s="119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3.5" customHeight="1">
      <c r="A310" s="2"/>
      <c r="B310" s="119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3.5" customHeight="1">
      <c r="A311" s="2"/>
      <c r="B311" s="119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3.5" customHeight="1">
      <c r="A312" s="2"/>
      <c r="B312" s="119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3.5" customHeight="1">
      <c r="A313" s="2"/>
      <c r="B313" s="119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3.5" customHeight="1">
      <c r="A314" s="2"/>
      <c r="B314" s="119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3.5" customHeight="1">
      <c r="A315" s="2"/>
      <c r="B315" s="119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3.5" customHeight="1">
      <c r="A316" s="2"/>
      <c r="B316" s="119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3.5" customHeight="1">
      <c r="A317" s="2"/>
      <c r="B317" s="119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3.5" customHeight="1">
      <c r="A318" s="2"/>
      <c r="B318" s="119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3.5" customHeight="1">
      <c r="A319" s="2"/>
      <c r="B319" s="119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3.5" customHeight="1">
      <c r="A320" s="2"/>
      <c r="B320" s="119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3.5" customHeight="1">
      <c r="A321" s="2"/>
      <c r="B321" s="119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3.5" customHeight="1">
      <c r="A322" s="2"/>
      <c r="B322" s="119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3.5" customHeight="1">
      <c r="A323" s="2"/>
      <c r="B323" s="119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3.5" customHeight="1">
      <c r="A324" s="2"/>
      <c r="B324" s="119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3.5" customHeight="1">
      <c r="A325" s="2"/>
      <c r="B325" s="119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3.5" customHeight="1">
      <c r="A326" s="2"/>
      <c r="B326" s="119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3.5" customHeight="1">
      <c r="A327" s="2"/>
      <c r="B327" s="119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3.5" customHeight="1">
      <c r="A328" s="2"/>
      <c r="B328" s="119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3.5" customHeight="1">
      <c r="A329" s="2"/>
      <c r="B329" s="119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3.5" customHeight="1">
      <c r="A330" s="2"/>
      <c r="B330" s="119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3.5" customHeight="1">
      <c r="A331" s="2"/>
      <c r="B331" s="119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3.5" customHeight="1">
      <c r="A332" s="2"/>
      <c r="B332" s="119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3.5" customHeight="1">
      <c r="A333" s="2"/>
      <c r="B333" s="119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3.5" customHeight="1">
      <c r="A334" s="2"/>
      <c r="B334" s="119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3.5" customHeight="1">
      <c r="A335" s="2"/>
      <c r="B335" s="119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3.5" customHeight="1">
      <c r="A336" s="2"/>
      <c r="B336" s="119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3.5" customHeight="1">
      <c r="A337" s="2"/>
      <c r="B337" s="119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3.5" customHeight="1">
      <c r="A338" s="2"/>
      <c r="B338" s="119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3.5" customHeight="1">
      <c r="A339" s="2"/>
      <c r="B339" s="119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3.5" customHeight="1">
      <c r="A340" s="2"/>
      <c r="B340" s="119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3.5" customHeight="1">
      <c r="A341" s="2"/>
      <c r="B341" s="119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3.5" customHeight="1">
      <c r="A342" s="2"/>
      <c r="B342" s="119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3.5" customHeight="1">
      <c r="A343" s="2"/>
      <c r="B343" s="119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3.5" customHeight="1">
      <c r="A344" s="2"/>
      <c r="B344" s="119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3.5" customHeight="1">
      <c r="A345" s="2"/>
      <c r="B345" s="119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3.5" customHeight="1">
      <c r="A346" s="2"/>
      <c r="B346" s="119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3.5" customHeight="1">
      <c r="A347" s="2"/>
      <c r="B347" s="119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3.5" customHeight="1">
      <c r="A348" s="2"/>
      <c r="B348" s="119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3.5" customHeight="1">
      <c r="A349" s="2"/>
      <c r="B349" s="119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3.5" customHeight="1">
      <c r="A350" s="2"/>
      <c r="B350" s="119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3.5" customHeight="1">
      <c r="A351" s="2"/>
      <c r="B351" s="119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3.5" customHeight="1">
      <c r="A352" s="2"/>
      <c r="B352" s="119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3.5" customHeight="1">
      <c r="A353" s="2"/>
      <c r="B353" s="119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3.5" customHeight="1">
      <c r="A354" s="2"/>
      <c r="B354" s="119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3.5" customHeight="1">
      <c r="A355" s="2"/>
      <c r="B355" s="119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3.5" customHeight="1">
      <c r="A356" s="2"/>
      <c r="B356" s="119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3.5" customHeight="1">
      <c r="A357" s="2"/>
      <c r="B357" s="119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3.5" customHeight="1">
      <c r="A358" s="2"/>
      <c r="B358" s="119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3.5" customHeight="1">
      <c r="A359" s="2"/>
      <c r="B359" s="119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3.5" customHeight="1">
      <c r="A360" s="2"/>
      <c r="B360" s="119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3.5" customHeight="1">
      <c r="A361" s="2"/>
      <c r="B361" s="119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3.5" customHeight="1">
      <c r="A362" s="2"/>
      <c r="B362" s="119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3.5" customHeight="1">
      <c r="A363" s="2"/>
      <c r="B363" s="119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3.5" customHeight="1">
      <c r="A364" s="2"/>
      <c r="B364" s="119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3.5" customHeight="1">
      <c r="A365" s="2"/>
      <c r="B365" s="119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3.5" customHeight="1">
      <c r="A366" s="2"/>
      <c r="B366" s="119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3.5" customHeight="1">
      <c r="A367" s="2"/>
      <c r="B367" s="119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3.5" customHeight="1">
      <c r="A368" s="2"/>
      <c r="B368" s="119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3.5" customHeight="1">
      <c r="A369" s="2"/>
      <c r="B369" s="119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3.5" customHeight="1">
      <c r="A370" s="2"/>
      <c r="B370" s="119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3.5" customHeight="1">
      <c r="A371" s="2"/>
      <c r="B371" s="119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3.5" customHeight="1">
      <c r="A372" s="2"/>
      <c r="B372" s="119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3.5" customHeight="1">
      <c r="A373" s="2"/>
      <c r="B373" s="119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3.5" customHeight="1">
      <c r="A374" s="2"/>
      <c r="B374" s="119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3.5" customHeight="1">
      <c r="A375" s="2"/>
      <c r="B375" s="119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3.5" customHeight="1">
      <c r="A376" s="2"/>
      <c r="B376" s="119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3.5" customHeight="1">
      <c r="A377" s="2"/>
      <c r="B377" s="119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3.5" customHeight="1">
      <c r="A378" s="2"/>
      <c r="B378" s="119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3.5" customHeight="1">
      <c r="A379" s="2"/>
      <c r="B379" s="119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3.5" customHeight="1">
      <c r="A380" s="2"/>
      <c r="B380" s="119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3.5" customHeight="1">
      <c r="A381" s="2"/>
      <c r="B381" s="119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3.5" customHeight="1">
      <c r="A382" s="2"/>
      <c r="B382" s="119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3.5" customHeight="1">
      <c r="A383" s="2"/>
      <c r="B383" s="119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3.5" customHeight="1">
      <c r="A384" s="2"/>
      <c r="B384" s="119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3.5" customHeight="1">
      <c r="A385" s="2"/>
      <c r="B385" s="119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3.5" customHeight="1">
      <c r="A386" s="2"/>
      <c r="B386" s="119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3.5" customHeight="1">
      <c r="A387" s="2"/>
      <c r="B387" s="119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3.5" customHeight="1">
      <c r="A388" s="2"/>
      <c r="B388" s="119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3.5" customHeight="1">
      <c r="A389" s="2"/>
      <c r="B389" s="119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3.5" customHeight="1">
      <c r="A390" s="2"/>
      <c r="B390" s="119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3.5" customHeight="1">
      <c r="A391" s="2"/>
      <c r="B391" s="119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3.5" customHeight="1">
      <c r="A392" s="2"/>
      <c r="B392" s="119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3.5" customHeight="1">
      <c r="A393" s="2"/>
      <c r="B393" s="119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3.5" customHeight="1">
      <c r="A394" s="2"/>
      <c r="B394" s="119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3.5" customHeight="1">
      <c r="A395" s="2"/>
      <c r="B395" s="119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3.5" customHeight="1">
      <c r="A396" s="2"/>
      <c r="B396" s="119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3.5" customHeight="1">
      <c r="A397" s="2"/>
      <c r="B397" s="119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3.5" customHeight="1">
      <c r="A398" s="2"/>
      <c r="B398" s="119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3.5" customHeight="1">
      <c r="A399" s="2"/>
      <c r="B399" s="119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3.5" customHeight="1">
      <c r="A400" s="2"/>
      <c r="B400" s="119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3.5" customHeight="1">
      <c r="A401" s="2"/>
      <c r="B401" s="119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3.5" customHeight="1">
      <c r="A402" s="2"/>
      <c r="B402" s="119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3.5" customHeight="1">
      <c r="A403" s="2"/>
      <c r="B403" s="119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3.5" customHeight="1">
      <c r="A404" s="2"/>
      <c r="B404" s="119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3.5" customHeight="1">
      <c r="A405" s="2"/>
      <c r="B405" s="119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3.5" customHeight="1">
      <c r="A406" s="2"/>
      <c r="B406" s="119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3.5" customHeight="1">
      <c r="A407" s="2"/>
      <c r="B407" s="119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3.5" customHeight="1">
      <c r="A408" s="2"/>
      <c r="B408" s="119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3.5" customHeight="1">
      <c r="A409" s="2"/>
      <c r="B409" s="119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3.5" customHeight="1">
      <c r="A410" s="2"/>
      <c r="B410" s="119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3.5" customHeight="1">
      <c r="A411" s="2"/>
      <c r="B411" s="119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3.5" customHeight="1">
      <c r="A412" s="2"/>
      <c r="B412" s="119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3.5" customHeight="1">
      <c r="A413" s="2"/>
      <c r="B413" s="119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3.5" customHeight="1">
      <c r="A414" s="2"/>
      <c r="B414" s="119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3.5" customHeight="1">
      <c r="A415" s="2"/>
      <c r="B415" s="119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3.5" customHeight="1">
      <c r="A416" s="2"/>
      <c r="B416" s="119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3.5" customHeight="1">
      <c r="A417" s="2"/>
      <c r="B417" s="119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3.5" customHeight="1">
      <c r="A418" s="2"/>
      <c r="B418" s="119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3.5" customHeight="1">
      <c r="A419" s="2"/>
      <c r="B419" s="119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3.5" customHeight="1">
      <c r="A420" s="2"/>
      <c r="B420" s="119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3.5" customHeight="1">
      <c r="A421" s="2"/>
      <c r="B421" s="119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3.5" customHeight="1">
      <c r="A422" s="2"/>
      <c r="B422" s="119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3.5" customHeight="1">
      <c r="A423" s="2"/>
      <c r="B423" s="119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3.5" customHeight="1">
      <c r="A424" s="2"/>
      <c r="B424" s="119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3.5" customHeight="1">
      <c r="A425" s="2"/>
      <c r="B425" s="119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3.5" customHeight="1">
      <c r="A426" s="2"/>
      <c r="B426" s="119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3.5" customHeight="1">
      <c r="A427" s="2"/>
      <c r="B427" s="119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3.5" customHeight="1">
      <c r="A428" s="2"/>
      <c r="B428" s="119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3.5" customHeight="1">
      <c r="A429" s="2"/>
      <c r="B429" s="119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3.5" customHeight="1">
      <c r="A430" s="2"/>
      <c r="B430" s="119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3.5" customHeight="1">
      <c r="A431" s="2"/>
      <c r="B431" s="119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3.5" customHeight="1">
      <c r="A432" s="2"/>
      <c r="B432" s="119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3.5" customHeight="1">
      <c r="A433" s="2"/>
      <c r="B433" s="119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3.5" customHeight="1">
      <c r="A434" s="2"/>
      <c r="B434" s="119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3.5" customHeight="1">
      <c r="A435" s="2"/>
      <c r="B435" s="119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3.5" customHeight="1">
      <c r="A436" s="2"/>
      <c r="B436" s="119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3.5" customHeight="1">
      <c r="A437" s="2"/>
      <c r="B437" s="119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3.5" customHeight="1">
      <c r="A438" s="2"/>
      <c r="B438" s="119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3.5" customHeight="1">
      <c r="A439" s="2"/>
      <c r="B439" s="119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3.5" customHeight="1">
      <c r="A440" s="2"/>
      <c r="B440" s="119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3.5" customHeight="1">
      <c r="A441" s="2"/>
      <c r="B441" s="119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3.5" customHeight="1">
      <c r="A442" s="2"/>
      <c r="B442" s="119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3.5" customHeight="1">
      <c r="A443" s="2"/>
      <c r="B443" s="119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3.5" customHeight="1">
      <c r="A444" s="2"/>
      <c r="B444" s="119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3.5" customHeight="1">
      <c r="A445" s="2"/>
      <c r="B445" s="119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3.5" customHeight="1">
      <c r="A446" s="2"/>
      <c r="B446" s="119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3.5" customHeight="1">
      <c r="A447" s="2"/>
      <c r="B447" s="119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3.5" customHeight="1">
      <c r="A448" s="2"/>
      <c r="B448" s="119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3.5" customHeight="1">
      <c r="A449" s="2"/>
      <c r="B449" s="119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3.5" customHeight="1">
      <c r="A450" s="2"/>
      <c r="B450" s="119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3.5" customHeight="1">
      <c r="A451" s="2"/>
      <c r="B451" s="119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3.5" customHeight="1">
      <c r="A452" s="2"/>
      <c r="B452" s="119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3.5" customHeight="1">
      <c r="A453" s="2"/>
      <c r="B453" s="119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3.5" customHeight="1">
      <c r="A454" s="2"/>
      <c r="B454" s="119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3.5" customHeight="1">
      <c r="A455" s="2"/>
      <c r="B455" s="119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3.5" customHeight="1">
      <c r="A456" s="2"/>
      <c r="B456" s="119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3.5" customHeight="1">
      <c r="A457" s="2"/>
      <c r="B457" s="119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3.5" customHeight="1">
      <c r="A458" s="2"/>
      <c r="B458" s="119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3.5" customHeight="1">
      <c r="A459" s="2"/>
      <c r="B459" s="119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3.5" customHeight="1">
      <c r="A460" s="2"/>
      <c r="B460" s="119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3.5" customHeight="1">
      <c r="A461" s="2"/>
      <c r="B461" s="119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3.5" customHeight="1">
      <c r="A462" s="2"/>
      <c r="B462" s="119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3.5" customHeight="1">
      <c r="A463" s="2"/>
      <c r="B463" s="119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3.5" customHeight="1">
      <c r="A464" s="2"/>
      <c r="B464" s="119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3.5" customHeight="1">
      <c r="A465" s="2"/>
      <c r="B465" s="119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3.5" customHeight="1">
      <c r="A466" s="2"/>
      <c r="B466" s="119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3.5" customHeight="1">
      <c r="A467" s="2"/>
      <c r="B467" s="119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3.5" customHeight="1">
      <c r="A468" s="2"/>
      <c r="B468" s="119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3.5" customHeight="1">
      <c r="A469" s="2"/>
      <c r="B469" s="119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3.5" customHeight="1">
      <c r="A470" s="2"/>
      <c r="B470" s="119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3.5" customHeight="1">
      <c r="A471" s="2"/>
      <c r="B471" s="119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3.5" customHeight="1">
      <c r="A472" s="2"/>
      <c r="B472" s="119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3.5" customHeight="1">
      <c r="A473" s="2"/>
      <c r="B473" s="119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3.5" customHeight="1">
      <c r="A474" s="2"/>
      <c r="B474" s="119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3.5" customHeight="1">
      <c r="A475" s="2"/>
      <c r="B475" s="119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3.5" customHeight="1">
      <c r="A476" s="2"/>
      <c r="B476" s="119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3.5" customHeight="1">
      <c r="A477" s="2"/>
      <c r="B477" s="119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3.5" customHeight="1">
      <c r="A478" s="2"/>
      <c r="B478" s="119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3.5" customHeight="1">
      <c r="A479" s="2"/>
      <c r="B479" s="119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3.5" customHeight="1">
      <c r="A480" s="2"/>
      <c r="B480" s="119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3.5" customHeight="1">
      <c r="A481" s="2"/>
      <c r="B481" s="119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3.5" customHeight="1">
      <c r="A482" s="2"/>
      <c r="B482" s="119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3.5" customHeight="1">
      <c r="A483" s="2"/>
      <c r="B483" s="119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3.5" customHeight="1">
      <c r="A484" s="2"/>
      <c r="B484" s="119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3.5" customHeight="1">
      <c r="A485" s="2"/>
      <c r="B485" s="119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3.5" customHeight="1">
      <c r="A486" s="2"/>
      <c r="B486" s="119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3.5" customHeight="1">
      <c r="A487" s="2"/>
      <c r="B487" s="119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3.5" customHeight="1">
      <c r="A488" s="2"/>
      <c r="B488" s="119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3.5" customHeight="1">
      <c r="A489" s="2"/>
      <c r="B489" s="119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3.5" customHeight="1">
      <c r="A490" s="2"/>
      <c r="B490" s="119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3.5" customHeight="1">
      <c r="A491" s="2"/>
      <c r="B491" s="119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3.5" customHeight="1">
      <c r="A492" s="2"/>
      <c r="B492" s="119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3.5" customHeight="1">
      <c r="A493" s="2"/>
      <c r="B493" s="119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3.5" customHeight="1">
      <c r="A494" s="2"/>
      <c r="B494" s="119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3.5" customHeight="1">
      <c r="A495" s="2"/>
      <c r="B495" s="119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3.5" customHeight="1">
      <c r="A496" s="2"/>
      <c r="B496" s="119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3.5" customHeight="1">
      <c r="A497" s="2"/>
      <c r="B497" s="119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3.5" customHeight="1">
      <c r="A498" s="2"/>
      <c r="B498" s="119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3.5" customHeight="1">
      <c r="A499" s="2"/>
      <c r="B499" s="119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3.5" customHeight="1">
      <c r="A500" s="2"/>
      <c r="B500" s="119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3.5" customHeight="1">
      <c r="A501" s="2"/>
      <c r="B501" s="119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3.5" customHeight="1">
      <c r="A502" s="2"/>
      <c r="B502" s="119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3.5" customHeight="1">
      <c r="A503" s="2"/>
      <c r="B503" s="119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3.5" customHeight="1">
      <c r="A504" s="2"/>
      <c r="B504" s="119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3.5" customHeight="1">
      <c r="A505" s="2"/>
      <c r="B505" s="119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3.5" customHeight="1">
      <c r="A506" s="2"/>
      <c r="B506" s="119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3.5" customHeight="1">
      <c r="A507" s="2"/>
      <c r="B507" s="119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3.5" customHeight="1">
      <c r="A508" s="2"/>
      <c r="B508" s="119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3.5" customHeight="1">
      <c r="A509" s="2"/>
      <c r="B509" s="119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3.5" customHeight="1">
      <c r="A510" s="2"/>
      <c r="B510" s="119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3.5" customHeight="1">
      <c r="A511" s="2"/>
      <c r="B511" s="119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3.5" customHeight="1">
      <c r="A512" s="2"/>
      <c r="B512" s="119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3.5" customHeight="1">
      <c r="A513" s="2"/>
      <c r="B513" s="119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3.5" customHeight="1">
      <c r="A514" s="2"/>
      <c r="B514" s="119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3.5" customHeight="1">
      <c r="A515" s="2"/>
      <c r="B515" s="119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3.5" customHeight="1">
      <c r="A516" s="2"/>
      <c r="B516" s="119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3.5" customHeight="1">
      <c r="A517" s="2"/>
      <c r="B517" s="119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3.5" customHeight="1">
      <c r="A518" s="2"/>
      <c r="B518" s="119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3.5" customHeight="1">
      <c r="A519" s="2"/>
      <c r="B519" s="119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3.5" customHeight="1">
      <c r="A520" s="2"/>
      <c r="B520" s="119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3.5" customHeight="1">
      <c r="A521" s="2"/>
      <c r="B521" s="119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3.5" customHeight="1">
      <c r="A522" s="2"/>
      <c r="B522" s="119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3.5" customHeight="1">
      <c r="A523" s="2"/>
      <c r="B523" s="119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3.5" customHeight="1">
      <c r="A524" s="2"/>
      <c r="B524" s="119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3.5" customHeight="1">
      <c r="A525" s="2"/>
      <c r="B525" s="119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3.5" customHeight="1">
      <c r="A526" s="2"/>
      <c r="B526" s="119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3.5" customHeight="1">
      <c r="A527" s="2"/>
      <c r="B527" s="119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3.5" customHeight="1">
      <c r="A528" s="2"/>
      <c r="B528" s="119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3.5" customHeight="1">
      <c r="A529" s="2"/>
      <c r="B529" s="119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3.5" customHeight="1">
      <c r="A530" s="2"/>
      <c r="B530" s="119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3.5" customHeight="1">
      <c r="A531" s="2"/>
      <c r="B531" s="119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3.5" customHeight="1">
      <c r="A532" s="2"/>
      <c r="B532" s="119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3.5" customHeight="1">
      <c r="A533" s="2"/>
      <c r="B533" s="119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3.5" customHeight="1">
      <c r="A534" s="2"/>
      <c r="B534" s="119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3.5" customHeight="1">
      <c r="A535" s="2"/>
      <c r="B535" s="119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3.5" customHeight="1">
      <c r="A536" s="2"/>
      <c r="B536" s="119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3.5" customHeight="1">
      <c r="A537" s="2"/>
      <c r="B537" s="119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3.5" customHeight="1">
      <c r="A538" s="2"/>
      <c r="B538" s="119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3.5" customHeight="1">
      <c r="A539" s="2"/>
      <c r="B539" s="119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3.5" customHeight="1">
      <c r="A540" s="2"/>
      <c r="B540" s="119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3.5" customHeight="1">
      <c r="A541" s="2"/>
      <c r="B541" s="119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3.5" customHeight="1">
      <c r="A542" s="2"/>
      <c r="B542" s="119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3.5" customHeight="1">
      <c r="A543" s="2"/>
      <c r="B543" s="119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3.5" customHeight="1">
      <c r="A544" s="2"/>
      <c r="B544" s="119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3.5" customHeight="1">
      <c r="A545" s="2"/>
      <c r="B545" s="119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3.5" customHeight="1">
      <c r="A546" s="2"/>
      <c r="B546" s="119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3.5" customHeight="1">
      <c r="A547" s="2"/>
      <c r="B547" s="119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3.5" customHeight="1">
      <c r="A548" s="2"/>
      <c r="B548" s="119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3.5" customHeight="1">
      <c r="A549" s="2"/>
      <c r="B549" s="119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3.5" customHeight="1">
      <c r="A550" s="2"/>
      <c r="B550" s="119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3.5" customHeight="1">
      <c r="A551" s="2"/>
      <c r="B551" s="119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3.5" customHeight="1">
      <c r="A552" s="2"/>
      <c r="B552" s="119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3.5" customHeight="1">
      <c r="A553" s="2"/>
      <c r="B553" s="119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3.5" customHeight="1">
      <c r="A554" s="2"/>
      <c r="B554" s="119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3.5" customHeight="1">
      <c r="A555" s="2"/>
      <c r="B555" s="119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3.5" customHeight="1">
      <c r="A556" s="2"/>
      <c r="B556" s="119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3.5" customHeight="1">
      <c r="A557" s="2"/>
      <c r="B557" s="119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3.5" customHeight="1">
      <c r="A558" s="2"/>
      <c r="B558" s="119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3.5" customHeight="1">
      <c r="A559" s="2"/>
      <c r="B559" s="119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3.5" customHeight="1">
      <c r="A560" s="2"/>
      <c r="B560" s="119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3.5" customHeight="1">
      <c r="A561" s="2"/>
      <c r="B561" s="119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3.5" customHeight="1">
      <c r="A562" s="2"/>
      <c r="B562" s="119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3.5" customHeight="1">
      <c r="A563" s="2"/>
      <c r="B563" s="119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3.5" customHeight="1">
      <c r="A564" s="2"/>
      <c r="B564" s="119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3.5" customHeight="1">
      <c r="A565" s="2"/>
      <c r="B565" s="119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3.5" customHeight="1">
      <c r="A566" s="2"/>
      <c r="B566" s="119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3.5" customHeight="1">
      <c r="A567" s="2"/>
      <c r="B567" s="119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3.5" customHeight="1">
      <c r="A568" s="2"/>
      <c r="B568" s="119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3.5" customHeight="1">
      <c r="A569" s="2"/>
      <c r="B569" s="119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3.5" customHeight="1">
      <c r="A570" s="2"/>
      <c r="B570" s="119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3.5" customHeight="1">
      <c r="A571" s="2"/>
      <c r="B571" s="119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3.5" customHeight="1">
      <c r="A572" s="2"/>
      <c r="B572" s="119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3.5" customHeight="1">
      <c r="A573" s="2"/>
      <c r="B573" s="119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3.5" customHeight="1">
      <c r="A574" s="2"/>
      <c r="B574" s="119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3.5" customHeight="1">
      <c r="A575" s="2"/>
      <c r="B575" s="119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3.5" customHeight="1">
      <c r="A576" s="2"/>
      <c r="B576" s="119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3.5" customHeight="1">
      <c r="A577" s="2"/>
      <c r="B577" s="119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3.5" customHeight="1">
      <c r="A578" s="2"/>
      <c r="B578" s="119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3.5" customHeight="1">
      <c r="A579" s="2"/>
      <c r="B579" s="119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3.5" customHeight="1">
      <c r="A580" s="2"/>
      <c r="B580" s="119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3.5" customHeight="1">
      <c r="A581" s="2"/>
      <c r="B581" s="119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3.5" customHeight="1">
      <c r="A582" s="2"/>
      <c r="B582" s="119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3.5" customHeight="1">
      <c r="A583" s="2"/>
      <c r="B583" s="119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3.5" customHeight="1">
      <c r="A584" s="2"/>
      <c r="B584" s="119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3.5" customHeight="1">
      <c r="A585" s="2"/>
      <c r="B585" s="119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3.5" customHeight="1">
      <c r="A586" s="2"/>
      <c r="B586" s="119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3.5" customHeight="1">
      <c r="A587" s="2"/>
      <c r="B587" s="119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3.5" customHeight="1">
      <c r="A588" s="2"/>
      <c r="B588" s="119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3.5" customHeight="1">
      <c r="A589" s="2"/>
      <c r="B589" s="119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3.5" customHeight="1">
      <c r="A590" s="2"/>
      <c r="B590" s="119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3.5" customHeight="1">
      <c r="A591" s="2"/>
      <c r="B591" s="119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3.5" customHeight="1">
      <c r="A592" s="2"/>
      <c r="B592" s="119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3.5" customHeight="1">
      <c r="A593" s="2"/>
      <c r="B593" s="119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3.5" customHeight="1">
      <c r="A594" s="2"/>
      <c r="B594" s="119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3.5" customHeight="1">
      <c r="A595" s="2"/>
      <c r="B595" s="119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3.5" customHeight="1">
      <c r="A596" s="2"/>
      <c r="B596" s="119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3.5" customHeight="1">
      <c r="A597" s="2"/>
      <c r="B597" s="119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3.5" customHeight="1">
      <c r="A598" s="2"/>
      <c r="B598" s="119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3.5" customHeight="1">
      <c r="A599" s="2"/>
      <c r="B599" s="119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3.5" customHeight="1">
      <c r="A600" s="2"/>
      <c r="B600" s="119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3.5" customHeight="1">
      <c r="A601" s="2"/>
      <c r="B601" s="119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3.5" customHeight="1">
      <c r="A602" s="2"/>
      <c r="B602" s="119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3.5" customHeight="1">
      <c r="A603" s="2"/>
      <c r="B603" s="119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3.5" customHeight="1">
      <c r="A604" s="2"/>
      <c r="B604" s="119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3.5" customHeight="1">
      <c r="A605" s="2"/>
      <c r="B605" s="119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3.5" customHeight="1">
      <c r="A606" s="2"/>
      <c r="B606" s="119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3.5" customHeight="1">
      <c r="A607" s="2"/>
      <c r="B607" s="119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3.5" customHeight="1">
      <c r="A608" s="2"/>
      <c r="B608" s="119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3.5" customHeight="1">
      <c r="A609" s="2"/>
      <c r="B609" s="119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3.5" customHeight="1">
      <c r="A610" s="2"/>
      <c r="B610" s="119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3.5" customHeight="1">
      <c r="A611" s="2"/>
      <c r="B611" s="119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3.5" customHeight="1">
      <c r="A612" s="2"/>
      <c r="B612" s="119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3.5" customHeight="1">
      <c r="A613" s="2"/>
      <c r="B613" s="119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3.5" customHeight="1">
      <c r="A614" s="2"/>
      <c r="B614" s="119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3.5" customHeight="1">
      <c r="A615" s="2"/>
      <c r="B615" s="119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3.5" customHeight="1">
      <c r="A616" s="2"/>
      <c r="B616" s="119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3.5" customHeight="1">
      <c r="A617" s="2"/>
      <c r="B617" s="119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3.5" customHeight="1">
      <c r="A618" s="2"/>
      <c r="B618" s="119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3.5" customHeight="1">
      <c r="A619" s="2"/>
      <c r="B619" s="119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3.5" customHeight="1">
      <c r="A620" s="2"/>
      <c r="B620" s="119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3.5" customHeight="1">
      <c r="A621" s="2"/>
      <c r="B621" s="119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3.5" customHeight="1">
      <c r="A622" s="2"/>
      <c r="B622" s="119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3.5" customHeight="1">
      <c r="A623" s="2"/>
      <c r="B623" s="119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3.5" customHeight="1">
      <c r="A624" s="2"/>
      <c r="B624" s="119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3.5" customHeight="1">
      <c r="A625" s="2"/>
      <c r="B625" s="119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3.5" customHeight="1">
      <c r="A626" s="2"/>
      <c r="B626" s="119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3.5" customHeight="1">
      <c r="A627" s="2"/>
      <c r="B627" s="119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3.5" customHeight="1">
      <c r="A628" s="2"/>
      <c r="B628" s="119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3.5" customHeight="1">
      <c r="A629" s="2"/>
      <c r="B629" s="119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3.5" customHeight="1">
      <c r="A630" s="2"/>
      <c r="B630" s="119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3.5" customHeight="1">
      <c r="A631" s="2"/>
      <c r="B631" s="119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3.5" customHeight="1">
      <c r="A632" s="2"/>
      <c r="B632" s="119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3.5" customHeight="1">
      <c r="A633" s="2"/>
      <c r="B633" s="119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3.5" customHeight="1">
      <c r="A634" s="2"/>
      <c r="B634" s="119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3.5" customHeight="1">
      <c r="A635" s="2"/>
      <c r="B635" s="119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3.5" customHeight="1">
      <c r="A636" s="2"/>
      <c r="B636" s="119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3.5" customHeight="1">
      <c r="A637" s="2"/>
      <c r="B637" s="119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3.5" customHeight="1">
      <c r="A638" s="2"/>
      <c r="B638" s="119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3.5" customHeight="1">
      <c r="A639" s="2"/>
      <c r="B639" s="119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3.5" customHeight="1">
      <c r="A640" s="2"/>
      <c r="B640" s="119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3.5" customHeight="1">
      <c r="A641" s="2"/>
      <c r="B641" s="119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3.5" customHeight="1">
      <c r="A642" s="2"/>
      <c r="B642" s="119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3.5" customHeight="1">
      <c r="A643" s="2"/>
      <c r="B643" s="119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3.5" customHeight="1">
      <c r="A644" s="2"/>
      <c r="B644" s="119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3.5" customHeight="1">
      <c r="A645" s="2"/>
      <c r="B645" s="119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3.5" customHeight="1">
      <c r="A646" s="2"/>
      <c r="B646" s="119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3.5" customHeight="1">
      <c r="A647" s="2"/>
      <c r="B647" s="119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3.5" customHeight="1">
      <c r="A648" s="2"/>
      <c r="B648" s="119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3.5" customHeight="1">
      <c r="A649" s="2"/>
      <c r="B649" s="119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3.5" customHeight="1">
      <c r="A650" s="2"/>
      <c r="B650" s="119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3.5" customHeight="1">
      <c r="A651" s="2"/>
      <c r="B651" s="119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3.5" customHeight="1">
      <c r="A652" s="2"/>
      <c r="B652" s="119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3.5" customHeight="1">
      <c r="A653" s="2"/>
      <c r="B653" s="119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3.5" customHeight="1">
      <c r="A654" s="2"/>
      <c r="B654" s="119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3.5" customHeight="1">
      <c r="A655" s="2"/>
      <c r="B655" s="119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3.5" customHeight="1">
      <c r="A656" s="2"/>
      <c r="B656" s="119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3.5" customHeight="1">
      <c r="A657" s="2"/>
      <c r="B657" s="119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3.5" customHeight="1">
      <c r="A658" s="2"/>
      <c r="B658" s="119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3.5" customHeight="1">
      <c r="A659" s="2"/>
      <c r="B659" s="119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3.5" customHeight="1">
      <c r="A660" s="2"/>
      <c r="B660" s="119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3.5" customHeight="1">
      <c r="A661" s="2"/>
      <c r="B661" s="119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3.5" customHeight="1">
      <c r="A662" s="2"/>
      <c r="B662" s="119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3.5" customHeight="1">
      <c r="A663" s="2"/>
      <c r="B663" s="119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3.5" customHeight="1">
      <c r="A664" s="2"/>
      <c r="B664" s="119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3.5" customHeight="1">
      <c r="A665" s="2"/>
      <c r="B665" s="119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3.5" customHeight="1">
      <c r="A666" s="2"/>
      <c r="B666" s="119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3.5" customHeight="1">
      <c r="A667" s="2"/>
      <c r="B667" s="119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3.5" customHeight="1">
      <c r="A668" s="2"/>
      <c r="B668" s="119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3.5" customHeight="1">
      <c r="A669" s="2"/>
      <c r="B669" s="119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3.5" customHeight="1">
      <c r="A670" s="2"/>
      <c r="B670" s="119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3.5" customHeight="1">
      <c r="A671" s="2"/>
      <c r="B671" s="119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3.5" customHeight="1">
      <c r="A672" s="2"/>
      <c r="B672" s="119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3.5" customHeight="1">
      <c r="A673" s="2"/>
      <c r="B673" s="119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3.5" customHeight="1">
      <c r="A674" s="2"/>
      <c r="B674" s="119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3.5" customHeight="1">
      <c r="A675" s="2"/>
      <c r="B675" s="119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3.5" customHeight="1">
      <c r="A676" s="2"/>
      <c r="B676" s="119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3.5" customHeight="1">
      <c r="A677" s="2"/>
      <c r="B677" s="119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3.5" customHeight="1">
      <c r="A678" s="2"/>
      <c r="B678" s="119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3.5" customHeight="1">
      <c r="A679" s="2"/>
      <c r="B679" s="119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3.5" customHeight="1">
      <c r="A680" s="2"/>
      <c r="B680" s="119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3.5" customHeight="1">
      <c r="A681" s="2"/>
      <c r="B681" s="119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3.5" customHeight="1">
      <c r="A682" s="2"/>
      <c r="B682" s="119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3.5" customHeight="1">
      <c r="A683" s="2"/>
      <c r="B683" s="119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3.5" customHeight="1">
      <c r="A684" s="2"/>
      <c r="B684" s="119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3.5" customHeight="1">
      <c r="A685" s="2"/>
      <c r="B685" s="119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3.5" customHeight="1">
      <c r="A686" s="2"/>
      <c r="B686" s="119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3.5" customHeight="1">
      <c r="A687" s="2"/>
      <c r="B687" s="119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3.5" customHeight="1">
      <c r="A688" s="2"/>
      <c r="B688" s="119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3.5" customHeight="1">
      <c r="A689" s="2"/>
      <c r="B689" s="119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3.5" customHeight="1">
      <c r="A690" s="2"/>
      <c r="B690" s="119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3.5" customHeight="1">
      <c r="A691" s="2"/>
      <c r="B691" s="119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3.5" customHeight="1">
      <c r="A692" s="2"/>
      <c r="B692" s="119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3.5" customHeight="1">
      <c r="A693" s="2"/>
      <c r="B693" s="119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3.5" customHeight="1">
      <c r="A694" s="2"/>
      <c r="B694" s="119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3.5" customHeight="1">
      <c r="A695" s="2"/>
      <c r="B695" s="119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3.5" customHeight="1">
      <c r="A696" s="2"/>
      <c r="B696" s="119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3.5" customHeight="1">
      <c r="A697" s="2"/>
      <c r="B697" s="119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3.5" customHeight="1">
      <c r="A698" s="2"/>
      <c r="B698" s="119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3.5" customHeight="1">
      <c r="A699" s="2"/>
      <c r="B699" s="119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3.5" customHeight="1">
      <c r="A700" s="2"/>
      <c r="B700" s="119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3.5" customHeight="1">
      <c r="A701" s="2"/>
      <c r="B701" s="119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3.5" customHeight="1">
      <c r="A702" s="2"/>
      <c r="B702" s="119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3.5" customHeight="1">
      <c r="A703" s="2"/>
      <c r="B703" s="119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3.5" customHeight="1">
      <c r="A704" s="2"/>
      <c r="B704" s="119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3.5" customHeight="1">
      <c r="A705" s="2"/>
      <c r="B705" s="119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3.5" customHeight="1">
      <c r="A706" s="2"/>
      <c r="B706" s="119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3.5" customHeight="1">
      <c r="A707" s="2"/>
      <c r="B707" s="119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3.5" customHeight="1">
      <c r="A708" s="2"/>
      <c r="B708" s="119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3.5" customHeight="1">
      <c r="A709" s="2"/>
      <c r="B709" s="119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3.5" customHeight="1">
      <c r="A710" s="2"/>
      <c r="B710" s="119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3.5" customHeight="1">
      <c r="A711" s="2"/>
      <c r="B711" s="119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3.5" customHeight="1">
      <c r="A712" s="2"/>
      <c r="B712" s="119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3.5" customHeight="1">
      <c r="A713" s="2"/>
      <c r="B713" s="119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3.5" customHeight="1">
      <c r="A714" s="2"/>
      <c r="B714" s="119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3.5" customHeight="1">
      <c r="A715" s="2"/>
      <c r="B715" s="119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3.5" customHeight="1">
      <c r="A716" s="2"/>
      <c r="B716" s="119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3.5" customHeight="1">
      <c r="A717" s="2"/>
      <c r="B717" s="119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3.5" customHeight="1">
      <c r="A718" s="2"/>
      <c r="B718" s="119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3.5" customHeight="1">
      <c r="A719" s="2"/>
      <c r="B719" s="119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3.5" customHeight="1">
      <c r="A720" s="2"/>
      <c r="B720" s="119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3.5" customHeight="1">
      <c r="A721" s="2"/>
      <c r="B721" s="119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3.5" customHeight="1">
      <c r="A722" s="2"/>
      <c r="B722" s="119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3.5" customHeight="1">
      <c r="A723" s="2"/>
      <c r="B723" s="119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3.5" customHeight="1">
      <c r="A724" s="2"/>
      <c r="B724" s="119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3.5" customHeight="1">
      <c r="A725" s="2"/>
      <c r="B725" s="119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3.5" customHeight="1">
      <c r="A726" s="2"/>
      <c r="B726" s="119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3.5" customHeight="1">
      <c r="A727" s="2"/>
      <c r="B727" s="119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3.5" customHeight="1">
      <c r="A728" s="2"/>
      <c r="B728" s="119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3.5" customHeight="1">
      <c r="A729" s="2"/>
      <c r="B729" s="119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3.5" customHeight="1">
      <c r="A730" s="2"/>
      <c r="B730" s="119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3.5" customHeight="1">
      <c r="A731" s="2"/>
      <c r="B731" s="119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3.5" customHeight="1">
      <c r="A732" s="2"/>
      <c r="B732" s="119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3.5" customHeight="1">
      <c r="A733" s="2"/>
      <c r="B733" s="119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3.5" customHeight="1">
      <c r="A734" s="2"/>
      <c r="B734" s="119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3.5" customHeight="1">
      <c r="A735" s="2"/>
      <c r="B735" s="119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3.5" customHeight="1">
      <c r="A736" s="2"/>
      <c r="B736" s="119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3.5" customHeight="1">
      <c r="A737" s="2"/>
      <c r="B737" s="119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3.5" customHeight="1">
      <c r="A738" s="2"/>
      <c r="B738" s="119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3.5" customHeight="1">
      <c r="A739" s="2"/>
      <c r="B739" s="119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3.5" customHeight="1">
      <c r="A740" s="2"/>
      <c r="B740" s="119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3.5" customHeight="1">
      <c r="A741" s="2"/>
      <c r="B741" s="119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3.5" customHeight="1">
      <c r="A742" s="2"/>
      <c r="B742" s="119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3.5" customHeight="1">
      <c r="A743" s="2"/>
      <c r="B743" s="119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3.5" customHeight="1">
      <c r="A744" s="2"/>
      <c r="B744" s="119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3.5" customHeight="1">
      <c r="A745" s="2"/>
      <c r="B745" s="119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3.5" customHeight="1">
      <c r="A746" s="2"/>
      <c r="B746" s="119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3.5" customHeight="1">
      <c r="A747" s="2"/>
      <c r="B747" s="119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3.5" customHeight="1">
      <c r="A748" s="2"/>
      <c r="B748" s="119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3.5" customHeight="1">
      <c r="A749" s="2"/>
      <c r="B749" s="119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3.5" customHeight="1">
      <c r="A750" s="2"/>
      <c r="B750" s="119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3.5" customHeight="1">
      <c r="A751" s="2"/>
      <c r="B751" s="119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3.5" customHeight="1">
      <c r="A752" s="2"/>
      <c r="B752" s="119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3.5" customHeight="1">
      <c r="A753" s="2"/>
      <c r="B753" s="119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3.5" customHeight="1">
      <c r="A754" s="2"/>
      <c r="B754" s="119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3.5" customHeight="1">
      <c r="A755" s="2"/>
      <c r="B755" s="119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3.5" customHeight="1">
      <c r="A756" s="2"/>
      <c r="B756" s="119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3.5" customHeight="1">
      <c r="A757" s="2"/>
      <c r="B757" s="119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3.5" customHeight="1">
      <c r="A758" s="2"/>
      <c r="B758" s="119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3.5" customHeight="1">
      <c r="A759" s="2"/>
      <c r="B759" s="119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3.5" customHeight="1">
      <c r="A760" s="2"/>
      <c r="B760" s="119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3.5" customHeight="1">
      <c r="A761" s="2"/>
      <c r="B761" s="119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3.5" customHeight="1">
      <c r="A762" s="2"/>
      <c r="B762" s="119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3.5" customHeight="1">
      <c r="A763" s="2"/>
      <c r="B763" s="119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3.5" customHeight="1">
      <c r="A764" s="2"/>
      <c r="B764" s="119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3.5" customHeight="1">
      <c r="A765" s="2"/>
      <c r="B765" s="119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3.5" customHeight="1">
      <c r="A766" s="2"/>
      <c r="B766" s="119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3.5" customHeight="1">
      <c r="A767" s="2"/>
      <c r="B767" s="119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3.5" customHeight="1">
      <c r="A768" s="2"/>
      <c r="B768" s="119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3.5" customHeight="1">
      <c r="A769" s="2"/>
      <c r="B769" s="119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3.5" customHeight="1">
      <c r="A770" s="2"/>
      <c r="B770" s="119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3.5" customHeight="1">
      <c r="A771" s="2"/>
      <c r="B771" s="119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3.5" customHeight="1">
      <c r="A772" s="2"/>
      <c r="B772" s="119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3.5" customHeight="1">
      <c r="A773" s="2"/>
      <c r="B773" s="119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3.5" customHeight="1">
      <c r="A774" s="2"/>
      <c r="B774" s="119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3.5" customHeight="1">
      <c r="A775" s="2"/>
      <c r="B775" s="119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3.5" customHeight="1">
      <c r="A776" s="2"/>
      <c r="B776" s="119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3.5" customHeight="1">
      <c r="A777" s="2"/>
      <c r="B777" s="119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3.5" customHeight="1">
      <c r="A778" s="2"/>
      <c r="B778" s="119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3.5" customHeight="1">
      <c r="A779" s="2"/>
      <c r="B779" s="119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3.5" customHeight="1">
      <c r="A780" s="2"/>
      <c r="B780" s="119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3.5" customHeight="1">
      <c r="A781" s="2"/>
      <c r="B781" s="119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3.5" customHeight="1">
      <c r="A782" s="2"/>
      <c r="B782" s="119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3.5" customHeight="1">
      <c r="A783" s="2"/>
      <c r="B783" s="119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3.5" customHeight="1">
      <c r="A784" s="2"/>
      <c r="B784" s="119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3.5" customHeight="1">
      <c r="A785" s="2"/>
      <c r="B785" s="119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3.5" customHeight="1">
      <c r="A786" s="2"/>
      <c r="B786" s="119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3.5" customHeight="1">
      <c r="A787" s="2"/>
      <c r="B787" s="119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3.5" customHeight="1">
      <c r="A788" s="2"/>
      <c r="B788" s="119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3.5" customHeight="1">
      <c r="A789" s="2"/>
      <c r="B789" s="119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3.5" customHeight="1">
      <c r="A790" s="2"/>
      <c r="B790" s="119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3.5" customHeight="1">
      <c r="A791" s="2"/>
      <c r="B791" s="119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3.5" customHeight="1">
      <c r="A792" s="2"/>
      <c r="B792" s="119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3.5" customHeight="1">
      <c r="A793" s="2"/>
      <c r="B793" s="119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3.5" customHeight="1">
      <c r="A794" s="2"/>
      <c r="B794" s="119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3.5" customHeight="1">
      <c r="A795" s="2"/>
      <c r="B795" s="119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3.5" customHeight="1">
      <c r="A796" s="2"/>
      <c r="B796" s="119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3.5" customHeight="1">
      <c r="A797" s="2"/>
      <c r="B797" s="119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3.5" customHeight="1">
      <c r="A798" s="2"/>
      <c r="B798" s="119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3.5" customHeight="1">
      <c r="A799" s="2"/>
      <c r="B799" s="119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3.5" customHeight="1">
      <c r="A800" s="2"/>
      <c r="B800" s="119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3.5" customHeight="1">
      <c r="A801" s="2"/>
      <c r="B801" s="119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3.5" customHeight="1">
      <c r="A802" s="2"/>
      <c r="B802" s="119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3.5" customHeight="1">
      <c r="A803" s="2"/>
      <c r="B803" s="119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3.5" customHeight="1">
      <c r="A804" s="2"/>
      <c r="B804" s="119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3.5" customHeight="1">
      <c r="A805" s="2"/>
      <c r="B805" s="119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3.5" customHeight="1">
      <c r="A806" s="2"/>
      <c r="B806" s="119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3.5" customHeight="1">
      <c r="A807" s="2"/>
      <c r="B807" s="119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3.5" customHeight="1">
      <c r="A808" s="2"/>
      <c r="B808" s="119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3.5" customHeight="1">
      <c r="A809" s="2"/>
      <c r="B809" s="119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3.5" customHeight="1">
      <c r="A810" s="2"/>
      <c r="B810" s="119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3.5" customHeight="1">
      <c r="A811" s="2"/>
      <c r="B811" s="119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3.5" customHeight="1">
      <c r="A812" s="2"/>
      <c r="B812" s="119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3.5" customHeight="1">
      <c r="A813" s="2"/>
      <c r="B813" s="119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3.5" customHeight="1">
      <c r="A814" s="2"/>
      <c r="B814" s="119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3.5" customHeight="1">
      <c r="A815" s="2"/>
      <c r="B815" s="119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3.5" customHeight="1">
      <c r="A816" s="2"/>
      <c r="B816" s="119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3.5" customHeight="1">
      <c r="A817" s="2"/>
      <c r="B817" s="119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3.5" customHeight="1">
      <c r="A818" s="2"/>
      <c r="B818" s="119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3.5" customHeight="1">
      <c r="A819" s="2"/>
      <c r="B819" s="119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3.5" customHeight="1">
      <c r="A820" s="2"/>
      <c r="B820" s="119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3.5" customHeight="1">
      <c r="A821" s="2"/>
      <c r="B821" s="119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3.5" customHeight="1">
      <c r="A822" s="2"/>
      <c r="B822" s="119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3.5" customHeight="1">
      <c r="A823" s="2"/>
      <c r="B823" s="119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3.5" customHeight="1">
      <c r="A824" s="2"/>
      <c r="B824" s="119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3.5" customHeight="1">
      <c r="A825" s="2"/>
      <c r="B825" s="119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3.5" customHeight="1">
      <c r="A826" s="2"/>
      <c r="B826" s="119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3.5" customHeight="1">
      <c r="A827" s="2"/>
      <c r="B827" s="119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3.5" customHeight="1">
      <c r="A828" s="2"/>
      <c r="B828" s="119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3.5" customHeight="1">
      <c r="A829" s="2"/>
      <c r="B829" s="119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3.5" customHeight="1">
      <c r="A830" s="2"/>
      <c r="B830" s="119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3.5" customHeight="1">
      <c r="A831" s="2"/>
      <c r="B831" s="119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3.5" customHeight="1">
      <c r="A832" s="2"/>
      <c r="B832" s="119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3.5" customHeight="1">
      <c r="A833" s="2"/>
      <c r="B833" s="119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3.5" customHeight="1">
      <c r="A834" s="2"/>
      <c r="B834" s="119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3.5" customHeight="1">
      <c r="A835" s="2"/>
      <c r="B835" s="119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3.5" customHeight="1">
      <c r="A836" s="2"/>
      <c r="B836" s="119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3.5" customHeight="1">
      <c r="A837" s="2"/>
      <c r="B837" s="119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3.5" customHeight="1">
      <c r="A838" s="2"/>
      <c r="B838" s="119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3.5" customHeight="1">
      <c r="A839" s="2"/>
      <c r="B839" s="119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3.5" customHeight="1">
      <c r="A840" s="2"/>
      <c r="B840" s="119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3.5" customHeight="1">
      <c r="A841" s="2"/>
      <c r="B841" s="119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3.5" customHeight="1">
      <c r="A842" s="2"/>
      <c r="B842" s="119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3.5" customHeight="1">
      <c r="A843" s="2"/>
      <c r="B843" s="119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3.5" customHeight="1">
      <c r="A844" s="2"/>
      <c r="B844" s="119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3.5" customHeight="1">
      <c r="A845" s="2"/>
      <c r="B845" s="119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3.5" customHeight="1">
      <c r="A846" s="2"/>
      <c r="B846" s="119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3.5" customHeight="1">
      <c r="A847" s="2"/>
      <c r="B847" s="119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3.5" customHeight="1">
      <c r="A848" s="2"/>
      <c r="B848" s="119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3.5" customHeight="1">
      <c r="A849" s="2"/>
      <c r="B849" s="119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3.5" customHeight="1">
      <c r="A850" s="2"/>
      <c r="B850" s="119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3.5" customHeight="1">
      <c r="A851" s="2"/>
      <c r="B851" s="119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3.5" customHeight="1">
      <c r="A852" s="2"/>
      <c r="B852" s="119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3.5" customHeight="1">
      <c r="A853" s="2"/>
      <c r="B853" s="119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3.5" customHeight="1">
      <c r="A854" s="2"/>
      <c r="B854" s="119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3.5" customHeight="1">
      <c r="A855" s="2"/>
      <c r="B855" s="119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3.5" customHeight="1">
      <c r="A856" s="2"/>
      <c r="B856" s="119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3.5" customHeight="1">
      <c r="A857" s="2"/>
      <c r="B857" s="119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3.5" customHeight="1">
      <c r="A858" s="2"/>
      <c r="B858" s="119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3.5" customHeight="1">
      <c r="A859" s="2"/>
      <c r="B859" s="119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3.5" customHeight="1">
      <c r="A860" s="2"/>
      <c r="B860" s="119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3.5" customHeight="1">
      <c r="A861" s="2"/>
      <c r="B861" s="119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3.5" customHeight="1">
      <c r="A862" s="2"/>
      <c r="B862" s="119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3.5" customHeight="1">
      <c r="A863" s="2"/>
      <c r="B863" s="119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3.5" customHeight="1">
      <c r="A864" s="2"/>
      <c r="B864" s="119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3.5" customHeight="1">
      <c r="A865" s="2"/>
      <c r="B865" s="119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3.5" customHeight="1">
      <c r="A866" s="2"/>
      <c r="B866" s="119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3.5" customHeight="1">
      <c r="A867" s="2"/>
      <c r="B867" s="119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3.5" customHeight="1">
      <c r="A868" s="2"/>
      <c r="B868" s="119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3.5" customHeight="1">
      <c r="A869" s="2"/>
      <c r="B869" s="119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3.5" customHeight="1">
      <c r="A870" s="2"/>
      <c r="B870" s="119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3.5" customHeight="1">
      <c r="A871" s="2"/>
      <c r="B871" s="119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3.5" customHeight="1">
      <c r="A872" s="2"/>
      <c r="B872" s="119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3.5" customHeight="1">
      <c r="A873" s="2"/>
      <c r="B873" s="119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3.5" customHeight="1">
      <c r="A874" s="2"/>
      <c r="B874" s="119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3.5" customHeight="1">
      <c r="A875" s="2"/>
      <c r="B875" s="119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3.5" customHeight="1">
      <c r="A876" s="2"/>
      <c r="B876" s="119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3.5" customHeight="1">
      <c r="A877" s="2"/>
      <c r="B877" s="119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3.5" customHeight="1">
      <c r="A878" s="2"/>
      <c r="B878" s="119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3.5" customHeight="1">
      <c r="A879" s="2"/>
      <c r="B879" s="119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3.5" customHeight="1">
      <c r="A880" s="2"/>
      <c r="B880" s="119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3.5" customHeight="1">
      <c r="A881" s="2"/>
      <c r="B881" s="119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3.5" customHeight="1">
      <c r="A882" s="2"/>
      <c r="B882" s="119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3.5" customHeight="1">
      <c r="A883" s="2"/>
      <c r="B883" s="119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3.5" customHeight="1">
      <c r="A884" s="2"/>
      <c r="B884" s="119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3.5" customHeight="1">
      <c r="A885" s="2"/>
      <c r="B885" s="119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3.5" customHeight="1">
      <c r="A886" s="2"/>
      <c r="B886" s="119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3.5" customHeight="1">
      <c r="A887" s="2"/>
      <c r="B887" s="119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3.5" customHeight="1">
      <c r="A888" s="2"/>
      <c r="B888" s="119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3.5" customHeight="1">
      <c r="A889" s="2"/>
      <c r="B889" s="119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3.5" customHeight="1">
      <c r="A890" s="2"/>
      <c r="B890" s="119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3.5" customHeight="1">
      <c r="A891" s="2"/>
      <c r="B891" s="119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3.5" customHeight="1">
      <c r="A892" s="2"/>
      <c r="B892" s="119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3.5" customHeight="1">
      <c r="A893" s="2"/>
      <c r="B893" s="119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3.5" customHeight="1">
      <c r="A894" s="2"/>
      <c r="B894" s="119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3.5" customHeight="1">
      <c r="A895" s="2"/>
      <c r="B895" s="119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3.5" customHeight="1">
      <c r="A896" s="2"/>
      <c r="B896" s="119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3.5" customHeight="1">
      <c r="A897" s="2"/>
      <c r="B897" s="119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3.5" customHeight="1">
      <c r="A898" s="2"/>
      <c r="B898" s="119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3.5" customHeight="1">
      <c r="A899" s="2"/>
      <c r="B899" s="119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3.5" customHeight="1">
      <c r="A900" s="2"/>
      <c r="B900" s="119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3.5" customHeight="1">
      <c r="A901" s="2"/>
      <c r="B901" s="119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3.5" customHeight="1">
      <c r="A902" s="2"/>
      <c r="B902" s="119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3.5" customHeight="1">
      <c r="A903" s="2"/>
      <c r="B903" s="119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3.5" customHeight="1">
      <c r="A904" s="2"/>
      <c r="B904" s="119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3.5" customHeight="1">
      <c r="A905" s="2"/>
      <c r="B905" s="119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3.5" customHeight="1">
      <c r="A906" s="2"/>
      <c r="B906" s="119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3.5" customHeight="1">
      <c r="A907" s="2"/>
      <c r="B907" s="119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3.5" customHeight="1">
      <c r="A908" s="2"/>
      <c r="B908" s="119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3.5" customHeight="1">
      <c r="A909" s="2"/>
      <c r="B909" s="119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3.5" customHeight="1">
      <c r="A910" s="2"/>
      <c r="B910" s="119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3.5" customHeight="1">
      <c r="A911" s="2"/>
      <c r="B911" s="119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3.5" customHeight="1">
      <c r="A912" s="2"/>
      <c r="B912" s="119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3.5" customHeight="1">
      <c r="A913" s="2"/>
      <c r="B913" s="119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3.5" customHeight="1">
      <c r="A914" s="2"/>
      <c r="B914" s="119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3.5" customHeight="1">
      <c r="A915" s="2"/>
      <c r="B915" s="119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3.5" customHeight="1">
      <c r="A916" s="2"/>
      <c r="B916" s="119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3.5" customHeight="1">
      <c r="A917" s="2"/>
      <c r="B917" s="119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3.5" customHeight="1">
      <c r="A918" s="2"/>
      <c r="B918" s="119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3.5" customHeight="1">
      <c r="A919" s="2"/>
      <c r="B919" s="119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3.5" customHeight="1">
      <c r="A920" s="2"/>
      <c r="B920" s="119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3.5" customHeight="1">
      <c r="A921" s="2"/>
      <c r="B921" s="119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3.5" customHeight="1">
      <c r="A922" s="2"/>
      <c r="B922" s="119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3.5" customHeight="1">
      <c r="A923" s="2"/>
      <c r="B923" s="119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3.5" customHeight="1">
      <c r="A924" s="2"/>
      <c r="B924" s="119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3.5" customHeight="1">
      <c r="A925" s="2"/>
      <c r="B925" s="119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3.5" customHeight="1">
      <c r="A926" s="2"/>
      <c r="B926" s="119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3.5" customHeight="1">
      <c r="A927" s="2"/>
      <c r="B927" s="119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3.5" customHeight="1">
      <c r="A928" s="2"/>
      <c r="B928" s="119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3.5" customHeight="1">
      <c r="A929" s="2"/>
      <c r="B929" s="119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3.5" customHeight="1">
      <c r="A930" s="2"/>
      <c r="B930" s="119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3.5" customHeight="1">
      <c r="A931" s="2"/>
      <c r="B931" s="119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3.5" customHeight="1">
      <c r="A932" s="2"/>
      <c r="B932" s="119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3.5" customHeight="1">
      <c r="A933" s="2"/>
      <c r="B933" s="119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3.5" customHeight="1">
      <c r="A934" s="2"/>
      <c r="B934" s="119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3.5" customHeight="1">
      <c r="A935" s="2"/>
      <c r="B935" s="119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3.5" customHeight="1">
      <c r="A936" s="2"/>
      <c r="B936" s="119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3.5" customHeight="1">
      <c r="A937" s="2"/>
      <c r="B937" s="119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3.5" customHeight="1">
      <c r="A938" s="2"/>
      <c r="B938" s="119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3.5" customHeight="1">
      <c r="A939" s="2"/>
      <c r="B939" s="119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3.5" customHeight="1">
      <c r="A940" s="2"/>
      <c r="B940" s="119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3.5" customHeight="1">
      <c r="A941" s="2"/>
      <c r="B941" s="119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3.5" customHeight="1">
      <c r="A942" s="2"/>
      <c r="B942" s="119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3.5" customHeight="1">
      <c r="A943" s="2"/>
      <c r="B943" s="119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3.5" customHeight="1">
      <c r="A944" s="2"/>
      <c r="B944" s="119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3.5" customHeight="1">
      <c r="A945" s="2"/>
      <c r="B945" s="119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3.5" customHeight="1">
      <c r="A946" s="2"/>
      <c r="B946" s="119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3.5" customHeight="1">
      <c r="A947" s="2"/>
      <c r="B947" s="119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3.5" customHeight="1">
      <c r="A948" s="2"/>
      <c r="B948" s="119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3.5" customHeight="1">
      <c r="A949" s="2"/>
      <c r="B949" s="119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3.5" customHeight="1">
      <c r="A950" s="2"/>
      <c r="B950" s="119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3.5" customHeight="1">
      <c r="A951" s="2"/>
      <c r="B951" s="119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3.5" customHeight="1">
      <c r="A952" s="2"/>
      <c r="B952" s="119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3.5" customHeight="1">
      <c r="A953" s="2"/>
      <c r="B953" s="119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3.5" customHeight="1">
      <c r="A954" s="2"/>
      <c r="B954" s="119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3.5" customHeight="1">
      <c r="A955" s="2"/>
      <c r="B955" s="119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3.5" customHeight="1">
      <c r="A956" s="2"/>
      <c r="B956" s="119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3.5" customHeight="1">
      <c r="A957" s="2"/>
      <c r="B957" s="119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3.5" customHeight="1">
      <c r="A958" s="2"/>
      <c r="B958" s="119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3.5" customHeight="1">
      <c r="A959" s="2"/>
      <c r="B959" s="119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3.5" customHeight="1">
      <c r="A960" s="2"/>
      <c r="B960" s="119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3.5" customHeight="1">
      <c r="A961" s="2"/>
      <c r="B961" s="119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3.5" customHeight="1">
      <c r="A962" s="2"/>
      <c r="B962" s="119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3.5" customHeight="1">
      <c r="A963" s="2"/>
      <c r="B963" s="119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3.5" customHeight="1">
      <c r="A964" s="2"/>
      <c r="B964" s="119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3.5" customHeight="1">
      <c r="A965" s="2"/>
      <c r="B965" s="119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3.5" customHeight="1">
      <c r="A966" s="2"/>
      <c r="B966" s="119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3.5" customHeight="1">
      <c r="A967" s="2"/>
      <c r="B967" s="119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3.5" customHeight="1">
      <c r="A968" s="2"/>
      <c r="B968" s="119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3.5" customHeight="1">
      <c r="A969" s="2"/>
      <c r="B969" s="119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3.5" customHeight="1">
      <c r="A970" s="2"/>
      <c r="B970" s="119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3.5" customHeight="1">
      <c r="A971" s="2"/>
      <c r="B971" s="119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3.5" customHeight="1">
      <c r="A972" s="2"/>
      <c r="B972" s="119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3.5" customHeight="1">
      <c r="A973" s="2"/>
      <c r="B973" s="119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3.5" customHeight="1">
      <c r="A974" s="2"/>
      <c r="B974" s="119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3.5" customHeight="1">
      <c r="A975" s="2"/>
      <c r="B975" s="119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3.5" customHeight="1">
      <c r="A976" s="2"/>
      <c r="B976" s="119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3.5" customHeight="1">
      <c r="A977" s="2"/>
      <c r="B977" s="119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3.5" customHeight="1">
      <c r="A978" s="2"/>
      <c r="B978" s="119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3.5" customHeight="1">
      <c r="A979" s="2"/>
      <c r="B979" s="119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3.5" customHeight="1">
      <c r="A980" s="2"/>
      <c r="B980" s="119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3.5" customHeight="1">
      <c r="A981" s="2"/>
      <c r="B981" s="119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3.5" customHeight="1">
      <c r="A982" s="2"/>
      <c r="B982" s="119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3.5" customHeight="1">
      <c r="A983" s="2"/>
      <c r="B983" s="119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3.5" customHeight="1">
      <c r="A984" s="2"/>
      <c r="B984" s="119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3.5" customHeight="1">
      <c r="A985" s="2"/>
      <c r="B985" s="119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3.5" customHeight="1">
      <c r="A986" s="2"/>
      <c r="B986" s="119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3.5" customHeight="1">
      <c r="A987" s="2"/>
      <c r="B987" s="119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3.5" customHeight="1">
      <c r="A988" s="2"/>
      <c r="B988" s="119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3.5" customHeight="1">
      <c r="A989" s="2"/>
      <c r="B989" s="119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3.5" customHeight="1">
      <c r="A990" s="2"/>
      <c r="B990" s="119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3.5" customHeight="1">
      <c r="A991" s="2"/>
      <c r="B991" s="119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3.5" customHeight="1">
      <c r="A992" s="2"/>
      <c r="B992" s="119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3.5" customHeight="1">
      <c r="A993" s="2"/>
      <c r="B993" s="119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3.5" customHeight="1">
      <c r="A994" s="2"/>
      <c r="B994" s="119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3.5" customHeight="1">
      <c r="A995" s="2"/>
      <c r="B995" s="119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3.5" customHeight="1">
      <c r="A996" s="2"/>
      <c r="B996" s="119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3.5" customHeight="1">
      <c r="A997" s="2"/>
      <c r="B997" s="119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3.5" customHeight="1">
      <c r="A998" s="2"/>
      <c r="B998" s="119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3.5" customHeight="1">
      <c r="A999" s="2"/>
      <c r="B999" s="119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3.5" customHeight="1">
      <c r="A1000" s="2"/>
      <c r="B1000" s="119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B3:D3"/>
  </mergeCells>
  <dataValidations>
    <dataValidation type="list" allowBlank="1" showErrorMessage="1" sqref="D5:D19">
      <formula1>$K$8:$K$11</formula1>
    </dataValidation>
    <dataValidation type="list" allowBlank="1" showErrorMessage="1" sqref="D21:D38 D41:D48 D51:D61">
      <formula1>$K$8:$K$10</formula1>
    </dataValidation>
    <dataValidation type="list" allowBlank="1" showErrorMessage="1" sqref="D62">
      <formula1>$L$8:$L$10</formula1>
    </dataValidation>
  </dataValidations>
  <printOptions/>
  <pageMargins bottom="0.75" footer="0.0" header="0.0" left="0.7" right="0.7" top="1.03125"/>
  <pageSetup paperSize="9" scale="56" orientation="landscape"/>
  <headerFooter>
    <oddHeader>&amp;L00-004&amp;CGP2022 Phase-Exit Review Checklist 09-020 09-038&lt;Project Name&gt;</oddHeader>
    <oddFooter>&amp;R&amp;P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2007-09-24T08:19:53Z</dcterms:created>
  <dc:creator>Elisabet Duocastella i Pla</dc:creator>
</cp:coreProperties>
</file>